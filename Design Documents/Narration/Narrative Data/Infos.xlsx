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D8F2B35A-C75D-3D45-8D42-240790AAB786}" xr6:coauthVersionLast="47" xr6:coauthVersionMax="47" xr10:uidLastSave="{00000000-0000-0000-0000-000000000000}"/>
  <bookViews>
    <workbookView xWindow="0" yWindow="740" windowWidth="2852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I76" i="1"/>
  <c r="I75" i="1"/>
  <c r="I74" i="1"/>
  <c r="I13" i="1"/>
  <c r="I51" i="1"/>
  <c r="I43" i="1"/>
  <c r="I32" i="1"/>
  <c r="I38" i="1"/>
  <c r="I5" i="1"/>
  <c r="I42" i="1"/>
  <c r="I58" i="1"/>
  <c r="I47" i="1"/>
  <c r="I44" i="1"/>
  <c r="I59" i="1"/>
  <c r="I30" i="1"/>
  <c r="I9" i="1"/>
  <c r="I10" i="1"/>
  <c r="I16" i="1"/>
  <c r="I72" i="1"/>
  <c r="I70" i="1"/>
  <c r="I60" i="1"/>
  <c r="I53" i="1"/>
  <c r="I49" i="1"/>
  <c r="I50" i="1"/>
  <c r="I52" i="1"/>
  <c r="I54" i="1"/>
  <c r="I35" i="1"/>
  <c r="I7" i="1"/>
  <c r="I19" i="1"/>
  <c r="I40" i="1"/>
  <c r="I23" i="1"/>
  <c r="I31" i="1"/>
  <c r="I65" i="1"/>
  <c r="I73" i="1"/>
  <c r="I45" i="1"/>
  <c r="I46" i="1"/>
  <c r="I57" i="1"/>
  <c r="I61" i="1"/>
  <c r="I55" i="1"/>
  <c r="I62" i="1"/>
  <c r="I15" i="1"/>
  <c r="I6" i="1"/>
  <c r="I14" i="1"/>
  <c r="I24" i="1"/>
  <c r="I3" i="1"/>
  <c r="I11" i="1"/>
  <c r="I17" i="1"/>
  <c r="I41" i="1"/>
  <c r="I37" i="1"/>
  <c r="I8" i="1"/>
  <c r="I20" i="1"/>
  <c r="I21" i="1"/>
  <c r="I22" i="1"/>
  <c r="I4" i="1"/>
  <c r="I27" i="1"/>
  <c r="I66" i="1"/>
  <c r="I64" i="1"/>
  <c r="I71" i="1"/>
  <c r="I56" i="1"/>
  <c r="I48" i="1"/>
  <c r="I63" i="1"/>
  <c r="I33" i="1"/>
  <c r="I39" i="1"/>
  <c r="I36" i="1"/>
  <c r="I18" i="1"/>
  <c r="I28" i="1"/>
  <c r="I34" i="1"/>
  <c r="I68" i="1"/>
  <c r="I69" i="1"/>
  <c r="I29" i="1"/>
  <c r="I25" i="1"/>
  <c r="I26" i="1"/>
  <c r="I2" i="1"/>
  <c r="I12" i="1"/>
  <c r="I67" i="1"/>
</calcChain>
</file>

<file path=xl/sharedStrings.xml><?xml version="1.0" encoding="utf-8"?>
<sst xmlns="http://schemas.openxmlformats.org/spreadsheetml/2006/main" count="447" uniqueCount="336">
  <si>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</si>
  <si>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</si>
  <si>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</si>
  <si>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</si>
  <si>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</si>
  <si>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</si>
  <si>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</si>
  <si>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</si>
  <si>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</si>
  <si>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</si>
  <si>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</si>
  <si>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</si>
  <si>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</si>
  <si>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</si>
  <si>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</si>
  <si>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</si>
  <si>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</si>
  <si>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</si>
  <si>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</si>
  <si>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</si>
  <si>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</si>
  <si>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</si>
  <si>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</si>
  <si>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</si>
  <si>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</si>
  <si>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</si>
  <si>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</si>
  <si>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</si>
  <si>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</si>
  <si>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</si>
  <si>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</si>
  <si>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</si>
  <si>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</si>
  <si>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</si>
  <si>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</si>
  <si>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</si>
  <si>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</si>
  <si>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</si>
  <si>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</si>
  <si>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</si>
  <si>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</si>
  <si>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</si>
  <si>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</si>
  <si>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</si>
  <si>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</si>
  <si>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</si>
  <si>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</si>
  <si>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</si>
  <si>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</si>
  <si>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</si>
  <si>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</si>
  <si>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</si>
  <si>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</si>
  <si>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</si>
  <si>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</si>
  <si>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</si>
  <si>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</si>
  <si>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</si>
  <si>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</si>
  <si>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</si>
  <si>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</si>
  <si>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</si>
  <si>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</si>
  <si>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</si>
  <si>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</si>
  <si>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</si>
  <si>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</si>
  <si>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</si>
  <si>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</si>
  <si>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</si>
  <si>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</si>
  <si>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</si>
  <si>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</si>
  <si>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</si>
  <si>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</si>
  <si>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</si>
  <si>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</si>
  <si>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</si>
  <si>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</si>
  <si>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</si>
  <si>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</si>
  <si>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</si>
  <si>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</si>
  <si>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</si>
  <si>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</si>
  <si>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</si>
  <si>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</si>
  <si>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</si>
  <si>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</si>
  <si>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</si>
  <si>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</si>
  <si>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</si>
  <si>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</si>
  <si>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</si>
  <si>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</si>
  <si>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</si>
  <si>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</si>
  <si>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</si>
  <si>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</si>
  <si>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</si>
  <si>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</si>
  <si>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</si>
  <si>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</si>
  <si>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</si>
  <si>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</si>
  <si>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</si>
  <si>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</si>
  <si>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</si>
  <si>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</si>
  <si>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</si>
  <si>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</si>
  <si>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</si>
  <si>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</si>
  <si>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</si>
  <si>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</si>
  <si>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</si>
  <si>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</si>
  <si>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</si>
  <si>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</si>
  <si>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</si>
  <si>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</si>
  <si>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</si>
  <si>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</si>
  <si>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</si>
  <si>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</si>
  <si>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</si>
  <si>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</si>
  <si>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</si>
  <si>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</si>
  <si>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</si>
  <si>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</si>
  <si>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</si>
  <si>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</si>
  <si>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</si>
  <si>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</si>
  <si>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</si>
  <si>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</si>
  <si>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</si>
  <si>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</si>
  <si>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</si>
  <si>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</si>
  <si>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</si>
  <si>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</si>
  <si>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</si>
  <si>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</si>
  <si>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</si>
  <si>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</si>
  <si>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</si>
  <si>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</si>
  <si>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</si>
  <si>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</si>
  <si>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</si>
  <si>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</si>
  <si>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</si>
  <si>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</si>
  <si>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</si>
  <si>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</si>
  <si>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</si>
  <si>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</si>
  <si>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</si>
  <si>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</si>
  <si>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</si>
  <si>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</si>
  <si>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</si>
  <si>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</si>
  <si>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</si>
  <si>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</si>
  <si>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</si>
  <si>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</si>
  <si>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</si>
  <si>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</si>
  <si>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</si>
  <si>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</si>
  <si>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</si>
  <si>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</si>
  <si>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</si>
  <si>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</si>
  <si>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</si>
  <si>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</si>
  <si>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</si>
  <si>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</si>
  <si>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</si>
  <si>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</si>
  <si>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</si>
  <si>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</si>
  <si>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</si>
  <si>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</si>
  <si>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</si>
  <si>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</si>
  <si>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</si>
  <si>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</si>
  <si>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</si>
  <si>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</si>
  <si>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</si>
  <si>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</si>
  <si>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</si>
  <si>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</si>
  <si>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</si>
  <si>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</si>
  <si>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</si>
  <si>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</si>
  <si>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</si>
  <si>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</si>
  <si>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</si>
  <si>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</si>
  <si>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</si>
  <si>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</si>
  <si>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</si>
  <si>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</si>
  <si>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</si>
  <si>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</si>
  <si>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</si>
  <si>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</si>
  <si>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</si>
  <si>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</si>
  <si>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</si>
  <si>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</si>
  <si>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</si>
  <si>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</si>
  <si>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</si>
  <si>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</si>
  <si>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</si>
  <si>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</si>
  <si>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</si>
  <si>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</si>
  <si>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</si>
  <si>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</si>
  <si>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</si>
  <si>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</si>
  <si>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</si>
  <si>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</si>
  <si>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</si>
  <si>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</si>
  <si>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</si>
  <si>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</si>
  <si>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</si>
  <si>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</si>
  <si>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</si>
  <si>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</si>
  <si>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</si>
  <si>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</si>
  <si>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</si>
  <si>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</si>
  <si>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</si>
  <si>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</si>
  <si>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</si>
  <si>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</si>
  <si>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</si>
  <si>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</si>
  <si>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</si>
  <si>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</si>
  <si>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</si>
  <si>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</si>
  <si>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</si>
  <si>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</si>
  <si>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</si>
  <si>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</si>
  <si>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</si>
  <si>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</si>
  <si>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</si>
  <si>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</si>
  <si>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</si>
  <si>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</si>
  <si>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</si>
  <si>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</si>
  <si>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</si>
  <si>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</si>
  <si>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</si>
  <si>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</si>
  <si>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</si>
  <si>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</si>
  <si>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</si>
  <si>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</si>
  <si>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</si>
  <si>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</si>
  <si>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</si>
  <si>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</si>
  <si>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</si>
  <si>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</si>
  <si>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</si>
  <si>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</si>
  <si>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</si>
  <si>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</si>
  <si>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</si>
  <si>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</si>
  <si>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</si>
  <si>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</si>
  <si>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</si>
  <si>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</si>
  <si>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</si>
  <si>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</si>
  <si>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</si>
  <si>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</si>
  <si>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</si>
  <si>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</si>
  <si>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</si>
  <si>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</si>
  <si>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</si>
  <si>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</si>
  <si>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</si>
  <si>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</si>
  <si>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</si>
  <si>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</si>
  <si>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</si>
  <si>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</si>
  <si>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</si>
  <si>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</si>
  <si>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</si>
  <si>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</si>
  <si>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</si>
  <si>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</si>
  <si>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</si>
  <si>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</si>
  <si>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</si>
  <si>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</si>
  <si>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</si>
  <si>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"lawa pi ko kiwen."</t>
  </si>
  <si>
    <t>"poki ni li pakala."</t>
  </si>
  <si>
    <t>lawa, kiwen</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</si>
  <si>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</si>
  <si>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</si>
  <si>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</si>
  <si>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</si>
  <si>
    <t>Scenes I would like to add</t>
  </si>
  <si>
    <t>Choosing a name</t>
  </si>
  <si>
    <t>SO and LO call RO by an insulting name</t>
  </si>
  <si>
    <t>Ro changes their name</t>
  </si>
  <si>
    <t>RO: "ko jaki!", RO: "pakala a!"</t>
  </si>
  <si>
    <t>"lipu ni li pakala."</t>
  </si>
  <si>
    <t>lipu, pakala</t>
  </si>
  <si>
    <t xml:space="preserve">*sounds of hammering nails*, SO: "jan RO! sina pali e seme?", RO: "a! jan SO! sina lon la, ni li pona tawa mi.",  SO: "sina pini e lupa tawa tomo moli pi mama sewi anu seme?", RO: "mi pini e ni. tenpo kama la, sina ken ala tawa tomo moli.", SO: "tan seme?", RO: "tan mi toki e ni.", *small silence*, SO: "tan seme?", RO: "tan tomo moli ni li sewi. mama sewi li moli. jan moli li wile e lape." SO: "taso-" *So gets cut off* RO: "taso ala a! mi toki e ijo la, ijo ni li lon! o weka!" </t>
  </si>
  <si>
    <t>RO: "sitelen suli ni li pana lukin e ko wawa", LO: "ko ni li wawa tan seme?", "RO: ko ni li sewi. ni li ken kama ale.", LO: "ale?!", RO: "poka.", LO: "ni li ken kama jan?", RO: "mi pilin e ni, taso tenpo pini la, ni li kama ala.",</t>
  </si>
  <si>
    <t>RO: "mi lon… tenpo pini suli la, mi lon ala. taso, tenpo ni la, mi lon… mi pilin ike... lawa ona mute li utala. sina sona e ni. tenpo sina moli ala la, sina toki e ni... tenpo pini la, mi pakala e sina. taso, tenpo ni la, mi wile e ni ala... mi pakala. mi pakala suli."</t>
  </si>
  <si>
    <t>"tomo moli li toki e ni: ''jan XXX. sina lawa e mi mute. sina sona e sewi. sina toki pona. moli sina li pilin ike tawa mi mute.''"</t>
  </si>
  <si>
    <t>moli, toki, e, ike, mute, XXX</t>
  </si>
  <si>
    <t>SO: "jan XXX!", RO: "jan XXX. toki.", SO: "o toki e lon!", RO: "sina toki e seme?", *sound of searching through something, then sound of liquid in bottle*, "ni! sina sona e poki ni anu seme?!", *silence*, RO: "sina tawa insa e tomo mi? sina ken ala e ni. sina sona e ni.", SO: "tenpo ni la, ni li suli ala.", *RO cutting SO off*, RO: "ni li suli a! mi lawa. mi toki e ijo la, sina kute e ni!", SO: "pakala a! o pakala e sina! sina moli e jan XXX! sina moli e mama sewi!", RO: "o kalama ala! toki sina li ike. ni li lon ala. sina sona e ala! o pana mi e pakala poki ni!", SO: "ala a! o sina tawa mi ala!", *struggling sounds*, RO: "o pana!", SO: "ala!" *more struggling sounds, sound of bottle hitting ground then rolling*,  SO: "pakala! poki li tawa anpa...", RO: "o kute-", *RO gets cut off*, "ala! tenpo pini la, mi kepeken ilo toki e tomo moli pi mama sewi. ni la, mi kute e sina toki tawa ona. mi kute sina toki e lon. sina moli e jan XXX!", *silence*, RO: "mi-" *gets cut off*, SO: "mi tawa." *sounds of steps leaving*, RO: "ala! o awen!"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</si>
</sst>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xf numFmtId="0" fontId="1" fillId="0" borderId="0" xfId="0" applyNumberFormat="1" applyFont="1" applyAlignment="1">
      <alignment horizontal="left" vertical="center" wrapText="1"/>
    </xf>
    <xf numFmtId="0" fontId="1" fillId="3" borderId="0" xfId="0" applyFont="1" applyFill="1" applyAlignment="1">
      <alignment horizontal="left" vertical="center" wrapText="1"/>
    </xf>
    <xf numFmtId="0" fontId="1" fillId="3" borderId="0" xfId="0" applyNumberFormat="1" applyFont="1" applyFill="1" applyAlignment="1">
      <alignment horizontal="left" vertical="center" wrapText="1"/>
    </xf>
  </cellXfs>
  <cellStyles count="1">
    <cellStyle name="Normal" xfId="0" builtinId="0"/>
  </cellStyles>
  <dxfs count="28">
    <dxf>
      <alignment vertical="center" textRotation="0" wrapText="0" indent="0" justifyLastLine="0" shrinkToFit="0" readingOrder="0"/>
    </dxf>
    <dxf>
      <alignment horizontal="general"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8" totalsRowShown="0" headerRowDxfId="27" dataDxfId="26">
  <autoFilter ref="A1:J78" xr:uid="{A333011E-814B-4044-8CEE-912E2F961A31}"/>
  <sortState xmlns:xlrd2="http://schemas.microsoft.com/office/spreadsheetml/2017/richdata2" ref="A2:J78">
    <sortCondition ref="B1:B78"/>
  </sortState>
  <tableColumns count="10">
    <tableColumn id="1" xr3:uid="{A3972590-6843-E64D-BC8B-BE7F61021465}" name="Name" dataDxfId="25"/>
    <tableColumn id="2" xr3:uid="{C3FDF78C-9C8A-384C-A991-91CE1FE2E698}" name="Mystery" dataDxfId="24"/>
    <tableColumn id="3" xr3:uid="{B29A1B80-6D4C-4B4E-8DDE-8665F64956DF}" name="Info" dataDxfId="23"/>
    <tableColumn id="4" xr3:uid="{8A8BB49C-F3B9-124C-AAA9-B71B4638E352}" name="Room" dataDxfId="22"/>
    <tableColumn id="5" xr3:uid="{FB141D1B-4AA2-5546-ABCB-9120591D12F1}" name="Medium" dataDxfId="21"/>
    <tableColumn id="6" xr3:uid="{D8B5D0BC-C917-6243-9E21-EFCAC6482479}" name="Timing / 5" dataDxfId="20"/>
    <tableColumn id="7" xr3:uid="{0B157806-E1A4-6043-AA30-D1E15F12C568}" name="Findable" dataDxfId="19"/>
    <tableColumn id="10" xr3:uid="{51D56085-B0C3-E841-B846-C22EDBD243D9}" name="Understandable" dataDxfId="18"/>
    <tableColumn id="11" xr3:uid="{29BFBE76-ABF1-5E49-B5EE-417D1C8C1B44}" name="Difficulty" dataDxfId="17">
      <calculatedColumnFormula xml:space="preserve"> SQRT((Table1[[#This Row],[Understandable]]^2) + (Table1[[#This Row],[Findable]]^2))</calculatedColumnFormula>
    </tableColumn>
    <tableColumn id="8" xr3:uid="{44F0299F-D12F-334D-95A5-FD753E4B8195}" name="Ideas and notes" dataDxfId="1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9" dataDxfId="8">
  <autoFilter ref="A1:H14" xr:uid="{A8B0A543-28F6-294F-8B07-E17D8AA06C2B}"/>
  <sortState xmlns:xlrd2="http://schemas.microsoft.com/office/spreadsheetml/2017/richdata2" ref="A2:H14">
    <sortCondition ref="C1:C14"/>
  </sortState>
  <tableColumns count="8">
    <tableColumn id="1" xr3:uid="{1355E863-F6E3-D349-91CC-66026BF92E65}" name="id" dataDxfId="7"/>
    <tableColumn id="2" xr3:uid="{11B5C82D-9182-164A-AC1A-C7860136E82F}" name="infos" dataDxfId="6"/>
    <tableColumn id="3" xr3:uid="{A4DAD171-1D30-194C-B63A-3BC9D929AA6C}" name="place" dataDxfId="5"/>
    <tableColumn id="4" xr3:uid="{FD04A320-3781-4743-BBB2-47BBED4853F8}" name="object" dataDxfId="4"/>
    <tableColumn id="5" xr3:uid="{6A83D1B3-B3D1-824B-A40A-3434A2205F56}" name="sentence" dataDxfId="3"/>
    <tableColumn id="6" xr3:uid="{A3C2C38B-7967-F649-A4A6-C189FCD5B493}" name="hidden_words" dataDxfId="2"/>
    <tableColumn id="9" xr3:uid="{5217A8AB-14D0-7B41-B779-58D056DC5244}" name="clues" dataDxfId="1"/>
    <tableColumn id="7" xr3:uid="{929F8BC9-DAB2-A945-B46C-9F9644C93C91}" name="dialog"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8"/>
  <sheetViews>
    <sheetView topLeftCell="A6" zoomScale="87" zoomScaleNormal="100" workbookViewId="0">
      <selection activeCell="E9" sqref="E9"/>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54" x14ac:dyDescent="0.2">
      <c r="A2" s="2" t="s">
        <v>116</v>
      </c>
      <c r="B2" s="2" t="s">
        <v>26</v>
      </c>
      <c r="C2" s="2" t="s">
        <v>220</v>
      </c>
      <c r="D2" s="2" t="s">
        <v>221</v>
      </c>
      <c r="E2" s="2" t="s">
        <v>232</v>
      </c>
      <c r="F2" s="2">
        <v>5</v>
      </c>
      <c r="I2" s="2">
        <f xml:space="preserve"> SQRT((Table1[[#This Row],[Understandable]]^2) + (Table1[[#This Row],[Findable]]^2))</f>
        <v>0</v>
      </c>
      <c r="J2" s="2" t="s">
        <v>233</v>
      </c>
    </row>
    <row r="3" spans="1:10" ht="36" x14ac:dyDescent="0.2">
      <c r="A3" s="2" t="s">
        <v>98</v>
      </c>
      <c r="B3" s="2" t="s">
        <v>26</v>
      </c>
      <c r="C3" s="2" t="s">
        <v>40</v>
      </c>
      <c r="D3" s="2" t="s">
        <v>154</v>
      </c>
      <c r="E3" s="2" t="s">
        <v>249</v>
      </c>
      <c r="F3" s="2">
        <v>3</v>
      </c>
      <c r="I3" s="2">
        <f xml:space="preserve"> SQRT((Table1[[#This Row],[Understandable]]^2) + (Table1[[#This Row],[Findable]]^2))</f>
        <v>0</v>
      </c>
      <c r="J3" s="2" t="s">
        <v>250</v>
      </c>
    </row>
    <row r="4" spans="1:10" ht="18" x14ac:dyDescent="0.2">
      <c r="A4" s="2" t="s">
        <v>111</v>
      </c>
      <c r="B4" s="2" t="s">
        <v>26</v>
      </c>
      <c r="C4" s="2" t="s">
        <v>52</v>
      </c>
      <c r="D4" s="2" t="s">
        <v>213</v>
      </c>
      <c r="F4" s="2">
        <v>3</v>
      </c>
      <c r="I4" s="2">
        <f xml:space="preserve"> SQRT((Table1[[#This Row],[Understandable]]^2) + (Table1[[#This Row],[Findable]]^2))</f>
        <v>0</v>
      </c>
    </row>
    <row r="5" spans="1:10" ht="18" x14ac:dyDescent="0.2">
      <c r="A5" s="2" t="s">
        <v>162</v>
      </c>
      <c r="B5" s="2" t="s">
        <v>26</v>
      </c>
      <c r="C5" s="2" t="s">
        <v>163</v>
      </c>
      <c r="D5" s="2" t="s">
        <v>213</v>
      </c>
      <c r="I5" s="2">
        <f xml:space="preserve"> SQRT((Table1[[#This Row],[Understandable]]^2) + (Table1[[#This Row],[Findable]]^2))</f>
        <v>0</v>
      </c>
    </row>
    <row r="6" spans="1:10" ht="36" x14ac:dyDescent="0.2">
      <c r="A6" s="2" t="s">
        <v>86</v>
      </c>
      <c r="B6" s="2" t="s">
        <v>26</v>
      </c>
      <c r="C6" s="2" t="s">
        <v>30</v>
      </c>
      <c r="D6" s="2" t="s">
        <v>213</v>
      </c>
      <c r="F6" s="2">
        <v>3</v>
      </c>
      <c r="I6" s="2">
        <f xml:space="preserve"> SQRT((Table1[[#This Row],[Understandable]]^2) + (Table1[[#This Row],[Findable]]^2))</f>
        <v>0</v>
      </c>
    </row>
    <row r="7" spans="1:10" ht="36" x14ac:dyDescent="0.2">
      <c r="A7" s="2" t="s">
        <v>90</v>
      </c>
      <c r="B7" s="2" t="s">
        <v>26</v>
      </c>
      <c r="C7" s="2" t="s">
        <v>34</v>
      </c>
      <c r="D7" s="2" t="s">
        <v>142</v>
      </c>
      <c r="E7" s="2" t="s">
        <v>177</v>
      </c>
      <c r="F7" s="2">
        <v>2</v>
      </c>
      <c r="G7" s="2">
        <v>2</v>
      </c>
      <c r="H7" s="2">
        <v>3</v>
      </c>
      <c r="I7" s="2">
        <f xml:space="preserve"> SQRT((Table1[[#This Row],[Understandable]]^2) + (Table1[[#This Row],[Findable]]^2))</f>
        <v>3.6055512754639891</v>
      </c>
    </row>
    <row r="8" spans="1:10" ht="18" x14ac:dyDescent="0.2">
      <c r="A8" s="2" t="s">
        <v>107</v>
      </c>
      <c r="B8" s="2" t="s">
        <v>26</v>
      </c>
      <c r="C8" s="2" t="s">
        <v>47</v>
      </c>
      <c r="D8" s="2" t="s">
        <v>142</v>
      </c>
      <c r="F8" s="2">
        <v>3</v>
      </c>
      <c r="I8" s="2">
        <f xml:space="preserve"> SQRT((Table1[[#This Row],[Understandable]]^2) + (Table1[[#This Row],[Findable]]^2))</f>
        <v>0</v>
      </c>
    </row>
    <row r="9" spans="1:10" ht="36" x14ac:dyDescent="0.2">
      <c r="A9" s="2" t="s">
        <v>91</v>
      </c>
      <c r="B9" s="2" t="s">
        <v>26</v>
      </c>
      <c r="C9" s="2" t="s">
        <v>35</v>
      </c>
      <c r="D9" s="2" t="s">
        <v>152</v>
      </c>
      <c r="E9" s="2" t="s">
        <v>146</v>
      </c>
      <c r="F9" s="2">
        <v>1</v>
      </c>
      <c r="G9" s="2">
        <v>2</v>
      </c>
      <c r="H9" s="2">
        <v>3</v>
      </c>
      <c r="I9" s="2">
        <f xml:space="preserve"> SQRT((Table1[[#This Row],[Understandable]]^2) + (Table1[[#This Row],[Findable]]^2))</f>
        <v>3.6055512754639891</v>
      </c>
    </row>
    <row r="10" spans="1:10" ht="36" x14ac:dyDescent="0.2">
      <c r="A10" s="2" t="s">
        <v>97</v>
      </c>
      <c r="B10" s="2" t="s">
        <v>26</v>
      </c>
      <c r="C10" s="2" t="s">
        <v>39</v>
      </c>
      <c r="D10" s="2" t="s">
        <v>243</v>
      </c>
      <c r="E10" s="2" t="s">
        <v>146</v>
      </c>
      <c r="F10" s="2">
        <v>1</v>
      </c>
      <c r="G10" s="2">
        <v>2</v>
      </c>
      <c r="H10" s="2">
        <v>3</v>
      </c>
      <c r="I10" s="2">
        <f xml:space="preserve"> SQRT((Table1[[#This Row],[Understandable]]^2) + (Table1[[#This Row],[Findable]]^2))</f>
        <v>3.6055512754639891</v>
      </c>
    </row>
    <row r="11" spans="1:10" ht="36" x14ac:dyDescent="0.2">
      <c r="A11" s="2" t="s">
        <v>99</v>
      </c>
      <c r="B11" s="2" t="s">
        <v>26</v>
      </c>
      <c r="C11" s="2" t="s">
        <v>41</v>
      </c>
      <c r="D11" s="2" t="s">
        <v>143</v>
      </c>
      <c r="F11" s="2">
        <v>3</v>
      </c>
      <c r="I11" s="2">
        <f xml:space="preserve"> SQRT((Table1[[#This Row],[Understandable]]^2) + (Table1[[#This Row],[Findable]]^2))</f>
        <v>0</v>
      </c>
    </row>
    <row r="12" spans="1:10" ht="36" x14ac:dyDescent="0.2">
      <c r="A12" s="2" t="s">
        <v>140</v>
      </c>
      <c r="B12" s="2" t="s">
        <v>26</v>
      </c>
      <c r="C12" s="2" t="s">
        <v>141</v>
      </c>
      <c r="D12" s="2" t="s">
        <v>223</v>
      </c>
      <c r="I12" s="2">
        <f xml:space="preserve"> SQRT((Table1[[#This Row],[Understandable]]^2) + (Table1[[#This Row],[Findable]]^2))</f>
        <v>0</v>
      </c>
    </row>
    <row r="13" spans="1:10" ht="18" x14ac:dyDescent="0.2">
      <c r="A13" s="2" t="s">
        <v>205</v>
      </c>
      <c r="B13" s="2" t="s">
        <v>26</v>
      </c>
      <c r="C13" s="2" t="s">
        <v>206</v>
      </c>
      <c r="D13" s="2" t="s">
        <v>224</v>
      </c>
      <c r="E13" s="2" t="s">
        <v>236</v>
      </c>
      <c r="I13" s="2">
        <f xml:space="preserve"> SQRT((Table1[[#This Row],[Understandable]]^2) + (Table1[[#This Row],[Findable]]^2))</f>
        <v>0</v>
      </c>
      <c r="J13" s="2" t="s">
        <v>235</v>
      </c>
    </row>
    <row r="14" spans="1:10" ht="36" x14ac:dyDescent="0.2">
      <c r="A14" s="2" t="s">
        <v>126</v>
      </c>
      <c r="B14" s="2" t="s">
        <v>26</v>
      </c>
      <c r="C14" s="2" t="s">
        <v>124</v>
      </c>
      <c r="D14" s="2" t="s">
        <v>219</v>
      </c>
      <c r="F14" s="2">
        <v>3</v>
      </c>
      <c r="I14" s="2">
        <f xml:space="preserve"> SQRT((Table1[[#This Row],[Understandable]]^2) + (Table1[[#This Row],[Findable]]^2))</f>
        <v>0</v>
      </c>
    </row>
    <row r="15" spans="1:10" ht="36" x14ac:dyDescent="0.2">
      <c r="A15" s="2" t="s">
        <v>85</v>
      </c>
      <c r="B15" s="2" t="s">
        <v>26</v>
      </c>
      <c r="C15" s="2" t="s">
        <v>29</v>
      </c>
      <c r="D15" s="2" t="s">
        <v>212</v>
      </c>
      <c r="F15" s="2">
        <v>3</v>
      </c>
      <c r="I15" s="2">
        <f xml:space="preserve"> SQRT((Table1[[#This Row],[Understandable]]^2) + (Table1[[#This Row],[Findable]]^2))</f>
        <v>0</v>
      </c>
    </row>
    <row r="16" spans="1:10" ht="18" x14ac:dyDescent="0.2">
      <c r="A16" s="2" t="s">
        <v>106</v>
      </c>
      <c r="B16" s="2" t="s">
        <v>26</v>
      </c>
      <c r="C16" s="2" t="s">
        <v>48</v>
      </c>
      <c r="D16" s="2" t="s">
        <v>144</v>
      </c>
      <c r="E16" s="2" t="s">
        <v>145</v>
      </c>
      <c r="F16" s="2">
        <v>1</v>
      </c>
      <c r="G16" s="2">
        <v>4</v>
      </c>
      <c r="H16" s="2">
        <v>4</v>
      </c>
      <c r="I16" s="2">
        <f xml:space="preserve"> SQRT((Table1[[#This Row],[Understandable]]^2) + (Table1[[#This Row],[Findable]]^2))</f>
        <v>5.6568542494923806</v>
      </c>
      <c r="J16" s="2" t="s">
        <v>149</v>
      </c>
    </row>
    <row r="17" spans="1:10" ht="36" x14ac:dyDescent="0.2">
      <c r="A17" s="2" t="s">
        <v>103</v>
      </c>
      <c r="B17" s="2" t="s">
        <v>26</v>
      </c>
      <c r="C17" s="2" t="s">
        <v>44</v>
      </c>
      <c r="D17" s="2" t="s">
        <v>144</v>
      </c>
      <c r="F17" s="2">
        <v>3</v>
      </c>
      <c r="I17" s="2">
        <f xml:space="preserve"> SQRT((Table1[[#This Row],[Understandable]]^2) + (Table1[[#This Row],[Findable]]^2))</f>
        <v>0</v>
      </c>
    </row>
    <row r="18" spans="1:10" ht="36" x14ac:dyDescent="0.2">
      <c r="A18" s="2" t="s">
        <v>127</v>
      </c>
      <c r="B18" s="2" t="s">
        <v>26</v>
      </c>
      <c r="C18" s="2" t="s">
        <v>128</v>
      </c>
      <c r="D18" s="2" t="s">
        <v>222</v>
      </c>
      <c r="I18" s="2">
        <f xml:space="preserve"> SQRT((Table1[[#This Row],[Understandable]]^2) + (Table1[[#This Row],[Findable]]^2))</f>
        <v>0</v>
      </c>
    </row>
    <row r="19" spans="1:10" ht="36" x14ac:dyDescent="0.2">
      <c r="A19" s="2" t="s">
        <v>92</v>
      </c>
      <c r="B19" s="2" t="s">
        <v>26</v>
      </c>
      <c r="C19" s="2" t="s">
        <v>36</v>
      </c>
      <c r="D19" s="2" t="s">
        <v>178</v>
      </c>
      <c r="E19" s="2" t="s">
        <v>179</v>
      </c>
      <c r="F19" s="2">
        <v>2</v>
      </c>
      <c r="G19" s="2">
        <v>5</v>
      </c>
      <c r="H19" s="2">
        <v>2</v>
      </c>
      <c r="I19" s="2">
        <f xml:space="preserve"> SQRT((Table1[[#This Row],[Understandable]]^2) + (Table1[[#This Row],[Findable]]^2))</f>
        <v>5.3851648071345037</v>
      </c>
      <c r="J19" s="2" t="s">
        <v>183</v>
      </c>
    </row>
    <row r="20" spans="1:10" ht="18" x14ac:dyDescent="0.2">
      <c r="A20" s="2" t="s">
        <v>108</v>
      </c>
      <c r="B20" s="2" t="s">
        <v>26</v>
      </c>
      <c r="C20" s="2" t="s">
        <v>49</v>
      </c>
      <c r="D20" s="2" t="s">
        <v>164</v>
      </c>
      <c r="F20" s="2">
        <v>3</v>
      </c>
      <c r="I20" s="2">
        <f xml:space="preserve"> SQRT((Table1[[#This Row],[Understandable]]^2) + (Table1[[#This Row],[Findable]]^2))</f>
        <v>0</v>
      </c>
    </row>
    <row r="21" spans="1:10" ht="18" x14ac:dyDescent="0.2">
      <c r="A21" s="2" t="s">
        <v>109</v>
      </c>
      <c r="B21" s="2" t="s">
        <v>26</v>
      </c>
      <c r="C21" s="2" t="s">
        <v>50</v>
      </c>
      <c r="D21" s="2" t="s">
        <v>164</v>
      </c>
      <c r="F21" s="2">
        <v>3</v>
      </c>
      <c r="I21" s="2">
        <f xml:space="preserve"> SQRT((Table1[[#This Row],[Understandable]]^2) + (Table1[[#This Row],[Findable]]^2))</f>
        <v>0</v>
      </c>
    </row>
    <row r="22" spans="1:10" ht="36" x14ac:dyDescent="0.2">
      <c r="A22" s="2" t="s">
        <v>110</v>
      </c>
      <c r="B22" s="2" t="s">
        <v>26</v>
      </c>
      <c r="C22" s="2" t="s">
        <v>51</v>
      </c>
      <c r="D22" s="2" t="s">
        <v>164</v>
      </c>
      <c r="F22" s="2">
        <v>3</v>
      </c>
      <c r="I22" s="2">
        <f xml:space="preserve"> SQRT((Table1[[#This Row],[Understandable]]^2) + (Table1[[#This Row],[Findable]]^2))</f>
        <v>0</v>
      </c>
    </row>
    <row r="23" spans="1:10" ht="36" x14ac:dyDescent="0.2">
      <c r="A23" s="2" t="s">
        <v>100</v>
      </c>
      <c r="B23" s="2" t="s">
        <v>26</v>
      </c>
      <c r="C23" s="2" t="s">
        <v>186</v>
      </c>
      <c r="D23" s="2" t="s">
        <v>157</v>
      </c>
      <c r="E23" s="2" t="s">
        <v>187</v>
      </c>
      <c r="F23" s="2">
        <v>2</v>
      </c>
      <c r="G23" s="2">
        <v>4</v>
      </c>
      <c r="H23" s="2">
        <v>1</v>
      </c>
      <c r="I23" s="2">
        <f xml:space="preserve"> SQRT((Table1[[#This Row],[Understandable]]^2) + (Table1[[#This Row],[Findable]]^2))</f>
        <v>4.1231056256176606</v>
      </c>
    </row>
    <row r="24" spans="1:10" ht="36" x14ac:dyDescent="0.2">
      <c r="A24" s="2" t="s">
        <v>96</v>
      </c>
      <c r="B24" s="2" t="s">
        <v>26</v>
      </c>
      <c r="C24" s="2" t="s">
        <v>95</v>
      </c>
      <c r="D24" s="2" t="s">
        <v>157</v>
      </c>
      <c r="F24" s="2">
        <v>3</v>
      </c>
      <c r="I24" s="2">
        <f xml:space="preserve"> SQRT((Table1[[#This Row],[Understandable]]^2) + (Table1[[#This Row],[Findable]]^2))</f>
        <v>0</v>
      </c>
    </row>
    <row r="25" spans="1:10" ht="18" x14ac:dyDescent="0.2">
      <c r="A25" s="2" t="s">
        <v>89</v>
      </c>
      <c r="B25" s="2" t="s">
        <v>26</v>
      </c>
      <c r="C25" s="2" t="s">
        <v>33</v>
      </c>
      <c r="D25" s="2" t="s">
        <v>157</v>
      </c>
      <c r="F25" s="2">
        <v>5</v>
      </c>
      <c r="I25" s="2">
        <f xml:space="preserve"> SQRT((Table1[[#This Row],[Understandable]]^2) + (Table1[[#This Row],[Findable]]^2))</f>
        <v>0</v>
      </c>
    </row>
    <row r="26" spans="1:10" s="4" customFormat="1" ht="18" x14ac:dyDescent="0.2">
      <c r="A26" s="2" t="s">
        <v>115</v>
      </c>
      <c r="B26" s="2" t="s">
        <v>26</v>
      </c>
      <c r="C26" s="2" t="s">
        <v>54</v>
      </c>
      <c r="D26" s="2" t="s">
        <v>157</v>
      </c>
      <c r="E26" s="2"/>
      <c r="F26" s="2">
        <v>5</v>
      </c>
      <c r="G26" s="2"/>
      <c r="H26" s="2"/>
      <c r="I26" s="2">
        <f xml:space="preserve"> SQRT((Table1[[#This Row],[Understandable]]^2) + (Table1[[#This Row],[Findable]]^2))</f>
        <v>0</v>
      </c>
      <c r="J26" s="2"/>
    </row>
    <row r="27" spans="1:10" ht="54" x14ac:dyDescent="0.2">
      <c r="A27" s="2" t="s">
        <v>112</v>
      </c>
      <c r="B27" s="2" t="s">
        <v>26</v>
      </c>
      <c r="C27" s="2" t="s">
        <v>53</v>
      </c>
      <c r="D27" s="2" t="s">
        <v>171</v>
      </c>
      <c r="E27" s="2" t="s">
        <v>239</v>
      </c>
      <c r="F27" s="2">
        <v>3</v>
      </c>
      <c r="I27" s="2">
        <f xml:space="preserve"> SQRT((Table1[[#This Row],[Understandable]]^2) + (Table1[[#This Row],[Findable]]^2))</f>
        <v>0</v>
      </c>
      <c r="J27" s="2" t="s">
        <v>240</v>
      </c>
    </row>
    <row r="28" spans="1:10" ht="54" x14ac:dyDescent="0.2">
      <c r="A28" s="2" t="s">
        <v>113</v>
      </c>
      <c r="B28" s="2" t="s">
        <v>26</v>
      </c>
      <c r="C28" s="2" t="s">
        <v>218</v>
      </c>
      <c r="D28" s="2" t="s">
        <v>242</v>
      </c>
      <c r="E28" s="2" t="s">
        <v>241</v>
      </c>
      <c r="F28" s="2">
        <v>4</v>
      </c>
      <c r="I28" s="2">
        <f xml:space="preserve"> SQRT((Table1[[#This Row],[Understandable]]^2) + (Table1[[#This Row],[Findable]]^2))</f>
        <v>0</v>
      </c>
    </row>
    <row r="29" spans="1:10" ht="108" x14ac:dyDescent="0.2">
      <c r="A29" s="2" t="s">
        <v>88</v>
      </c>
      <c r="B29" s="2" t="s">
        <v>26</v>
      </c>
      <c r="C29" s="2" t="s">
        <v>32</v>
      </c>
      <c r="D29" s="2" t="s">
        <v>171</v>
      </c>
      <c r="E29" s="2" t="s">
        <v>246</v>
      </c>
      <c r="F29" s="2">
        <v>5</v>
      </c>
      <c r="I29" s="2">
        <f xml:space="preserve"> SQRT((Table1[[#This Row],[Understandable]]^2) + (Table1[[#This Row],[Findable]]^2))</f>
        <v>0</v>
      </c>
      <c r="J29" s="2" t="s">
        <v>245</v>
      </c>
    </row>
    <row r="30" spans="1:10" ht="54" x14ac:dyDescent="0.2">
      <c r="A30" s="2" t="s">
        <v>82</v>
      </c>
      <c r="B30" s="2" t="s">
        <v>26</v>
      </c>
      <c r="C30" s="2" t="s">
        <v>27</v>
      </c>
      <c r="D30" s="2" t="s">
        <v>139</v>
      </c>
      <c r="E30" s="2" t="s">
        <v>138</v>
      </c>
      <c r="F30" s="2">
        <v>1</v>
      </c>
      <c r="G30" s="2">
        <v>1</v>
      </c>
      <c r="H30" s="2">
        <v>2</v>
      </c>
      <c r="I30" s="2">
        <f xml:space="preserve"> SQRT((Table1[[#This Row],[Understandable]]^2) + (Table1[[#This Row],[Findable]]^2))</f>
        <v>2.2360679774997898</v>
      </c>
    </row>
    <row r="31" spans="1:10" ht="36" x14ac:dyDescent="0.2">
      <c r="A31" s="2" t="s">
        <v>102</v>
      </c>
      <c r="B31" s="2" t="s">
        <v>26</v>
      </c>
      <c r="C31" s="2" t="s">
        <v>43</v>
      </c>
      <c r="D31" s="2" t="s">
        <v>188</v>
      </c>
      <c r="E31" s="2" t="s">
        <v>189</v>
      </c>
      <c r="F31" s="2">
        <v>2</v>
      </c>
      <c r="G31" s="2">
        <v>4</v>
      </c>
      <c r="H31" s="2">
        <v>2</v>
      </c>
      <c r="I31" s="2">
        <f xml:space="preserve"> SQRT((Table1[[#This Row],[Understandable]]^2) + (Table1[[#This Row],[Findable]]^2))</f>
        <v>4.4721359549995796</v>
      </c>
    </row>
    <row r="32" spans="1:10" ht="18" x14ac:dyDescent="0.2">
      <c r="A32" s="2" t="s">
        <v>184</v>
      </c>
      <c r="B32" s="2" t="s">
        <v>26</v>
      </c>
      <c r="C32" s="2" t="s">
        <v>185</v>
      </c>
      <c r="D32" s="2" t="s">
        <v>208</v>
      </c>
      <c r="E32" s="2" t="s">
        <v>209</v>
      </c>
      <c r="F32" s="2">
        <v>6</v>
      </c>
      <c r="I32" s="2">
        <f xml:space="preserve"> SQRT((Table1[[#This Row],[Understandable]]^2) + (Table1[[#This Row],[Findable]]^2))</f>
        <v>0</v>
      </c>
    </row>
    <row r="33" spans="1:10" ht="18" x14ac:dyDescent="0.2">
      <c r="A33" s="2" t="s">
        <v>87</v>
      </c>
      <c r="B33" s="2" t="s">
        <v>26</v>
      </c>
      <c r="C33" s="2" t="s">
        <v>31</v>
      </c>
      <c r="D33" s="2" t="s">
        <v>170</v>
      </c>
      <c r="F33" s="2">
        <v>4</v>
      </c>
      <c r="I33" s="2">
        <f xml:space="preserve"> SQRT((Table1[[#This Row],[Understandable]]^2) + (Table1[[#This Row],[Findable]]^2))</f>
        <v>0</v>
      </c>
    </row>
    <row r="34" spans="1:10" ht="36" x14ac:dyDescent="0.2">
      <c r="A34" s="2" t="s">
        <v>114</v>
      </c>
      <c r="B34" s="2" t="s">
        <v>26</v>
      </c>
      <c r="C34" s="2" t="s">
        <v>129</v>
      </c>
      <c r="D34" s="2" t="s">
        <v>170</v>
      </c>
      <c r="F34" s="2">
        <v>4</v>
      </c>
      <c r="I34" s="2">
        <f xml:space="preserve"> SQRT((Table1[[#This Row],[Understandable]]^2) + (Table1[[#This Row],[Findable]]^2))</f>
        <v>0</v>
      </c>
    </row>
    <row r="35" spans="1:10" ht="36" x14ac:dyDescent="0.2">
      <c r="A35" s="2" t="s">
        <v>84</v>
      </c>
      <c r="B35" s="2" t="s">
        <v>26</v>
      </c>
      <c r="C35" s="2" t="s">
        <v>28</v>
      </c>
      <c r="D35" s="2" t="s">
        <v>168</v>
      </c>
      <c r="E35" s="2" t="s">
        <v>169</v>
      </c>
      <c r="F35" s="2">
        <v>2</v>
      </c>
      <c r="G35" s="2">
        <v>3</v>
      </c>
      <c r="H35" s="2">
        <v>3</v>
      </c>
      <c r="I35" s="2">
        <f xml:space="preserve"> SQRT((Table1[[#This Row],[Understandable]]^2) + (Table1[[#This Row],[Findable]]^2))</f>
        <v>4.2426406871192848</v>
      </c>
    </row>
    <row r="36" spans="1:10" ht="36" x14ac:dyDescent="0.2">
      <c r="A36" s="2" t="s">
        <v>101</v>
      </c>
      <c r="B36" s="2" t="s">
        <v>26</v>
      </c>
      <c r="C36" s="2" t="s">
        <v>42</v>
      </c>
      <c r="D36" s="2" t="s">
        <v>251</v>
      </c>
      <c r="E36" s="2" t="s">
        <v>252</v>
      </c>
      <c r="F36" s="2">
        <v>4</v>
      </c>
      <c r="I36" s="2">
        <f xml:space="preserve"> SQRT((Table1[[#This Row],[Understandable]]^2) + (Table1[[#This Row],[Findable]]^2))</f>
        <v>0</v>
      </c>
      <c r="J36" s="2" t="s">
        <v>254</v>
      </c>
    </row>
    <row r="37" spans="1:10" ht="18" x14ac:dyDescent="0.2">
      <c r="A37" s="2" t="s">
        <v>105</v>
      </c>
      <c r="B37" s="2" t="s">
        <v>26</v>
      </c>
      <c r="C37" s="2" t="s">
        <v>46</v>
      </c>
      <c r="D37" s="2" t="s">
        <v>215</v>
      </c>
      <c r="F37" s="2">
        <v>3</v>
      </c>
      <c r="I37" s="2">
        <f xml:space="preserve"> SQRT((Table1[[#This Row],[Understandable]]^2) + (Table1[[#This Row],[Findable]]^2))</f>
        <v>0</v>
      </c>
    </row>
    <row r="38" spans="1:10" ht="18" x14ac:dyDescent="0.2">
      <c r="A38" s="2" t="s">
        <v>174</v>
      </c>
      <c r="B38" s="2" t="s">
        <v>26</v>
      </c>
      <c r="C38" s="2" t="s">
        <v>175</v>
      </c>
      <c r="D38" s="2" t="s">
        <v>215</v>
      </c>
      <c r="E38" s="2" t="s">
        <v>176</v>
      </c>
      <c r="I38" s="2">
        <f xml:space="preserve"> SQRT((Table1[[#This Row],[Understandable]]^2) + (Table1[[#This Row],[Findable]]^2))</f>
        <v>0</v>
      </c>
    </row>
    <row r="39" spans="1:10" ht="72" x14ac:dyDescent="0.2">
      <c r="A39" s="2" t="s">
        <v>94</v>
      </c>
      <c r="B39" s="2" t="s">
        <v>26</v>
      </c>
      <c r="C39" s="2" t="s">
        <v>38</v>
      </c>
      <c r="D39" s="2" t="s">
        <v>217</v>
      </c>
      <c r="F39" s="2">
        <v>4</v>
      </c>
      <c r="I39" s="2">
        <f xml:space="preserve"> SQRT((Table1[[#This Row],[Understandable]]^2) + (Table1[[#This Row],[Findable]]^2))</f>
        <v>0</v>
      </c>
    </row>
    <row r="40" spans="1:10" ht="54" x14ac:dyDescent="0.2">
      <c r="A40" s="2" t="s">
        <v>93</v>
      </c>
      <c r="B40" s="2" t="s">
        <v>26</v>
      </c>
      <c r="C40" s="2" t="s">
        <v>37</v>
      </c>
      <c r="D40" s="2" t="s">
        <v>182</v>
      </c>
      <c r="E40" s="2" t="s">
        <v>181</v>
      </c>
      <c r="F40" s="2">
        <v>2</v>
      </c>
      <c r="G40" s="2">
        <v>5</v>
      </c>
      <c r="H40" s="2">
        <v>2</v>
      </c>
      <c r="I40" s="2">
        <f xml:space="preserve"> SQRT((Table1[[#This Row],[Understandable]]^2) + (Table1[[#This Row],[Findable]]^2))</f>
        <v>5.3851648071345037</v>
      </c>
    </row>
    <row r="41" spans="1:10" ht="36" x14ac:dyDescent="0.2">
      <c r="A41" s="2" t="s">
        <v>104</v>
      </c>
      <c r="B41" s="2" t="s">
        <v>26</v>
      </c>
      <c r="C41" s="2" t="s">
        <v>45</v>
      </c>
      <c r="D41" s="2" t="s">
        <v>214</v>
      </c>
      <c r="F41" s="2">
        <v>3</v>
      </c>
      <c r="I41" s="2">
        <f xml:space="preserve"> SQRT((Table1[[#This Row],[Understandable]]^2) + (Table1[[#This Row],[Findable]]^2))</f>
        <v>0</v>
      </c>
    </row>
    <row r="42" spans="1:10" ht="18" x14ac:dyDescent="0.2">
      <c r="A42" s="2" t="s">
        <v>66</v>
      </c>
      <c r="B42" s="2" t="s">
        <v>5</v>
      </c>
      <c r="C42" s="3" t="s">
        <v>121</v>
      </c>
      <c r="D42" s="3" t="s">
        <v>226</v>
      </c>
      <c r="E42" s="2" t="s">
        <v>135</v>
      </c>
      <c r="F42" s="2">
        <v>1</v>
      </c>
      <c r="G42" s="2">
        <v>1</v>
      </c>
      <c r="H42" s="2">
        <v>1</v>
      </c>
      <c r="I42" s="2">
        <f xml:space="preserve"> SQRT((Table1[[#This Row],[Understandable]]^2) + (Table1[[#This Row],[Findable]]^2))</f>
        <v>1.4142135623730951</v>
      </c>
    </row>
    <row r="43" spans="1:10" ht="36" x14ac:dyDescent="0.2">
      <c r="A43" s="2" t="s">
        <v>198</v>
      </c>
      <c r="B43" s="2" t="s">
        <v>5</v>
      </c>
      <c r="C43" s="2" t="s">
        <v>199</v>
      </c>
      <c r="D43" s="2" t="s">
        <v>202</v>
      </c>
      <c r="E43" s="2" t="s">
        <v>231</v>
      </c>
      <c r="F43" s="2">
        <v>3</v>
      </c>
      <c r="G43" s="2">
        <v>1</v>
      </c>
      <c r="H43" s="2">
        <v>4</v>
      </c>
      <c r="I43" s="2">
        <f xml:space="preserve"> SQRT((Table1[[#This Row],[Understandable]]^2) + (Table1[[#This Row],[Findable]]^2))</f>
        <v>4.1231056256176606</v>
      </c>
    </row>
    <row r="44" spans="1:10" ht="18" x14ac:dyDescent="0.2">
      <c r="A44" s="2" t="s">
        <v>69</v>
      </c>
      <c r="B44" s="2" t="s">
        <v>5</v>
      </c>
      <c r="C44" s="2" t="s">
        <v>14</v>
      </c>
      <c r="D44" s="2" t="s">
        <v>154</v>
      </c>
      <c r="E44" s="2" t="s">
        <v>155</v>
      </c>
      <c r="F44" s="2">
        <v>1</v>
      </c>
      <c r="G44" s="2">
        <v>3</v>
      </c>
      <c r="H44" s="2">
        <v>1</v>
      </c>
      <c r="I44" s="2">
        <f xml:space="preserve"> SQRT((Table1[[#This Row],[Understandable]]^2) + (Table1[[#This Row],[Findable]]^2))</f>
        <v>3.1622776601683795</v>
      </c>
    </row>
    <row r="45" spans="1:10" ht="18" x14ac:dyDescent="0.2">
      <c r="A45" s="2" t="s">
        <v>74</v>
      </c>
      <c r="B45" s="2" t="s">
        <v>5</v>
      </c>
      <c r="C45" s="2" t="s">
        <v>18</v>
      </c>
      <c r="D45" s="2" t="s">
        <v>154</v>
      </c>
      <c r="E45" s="2" t="s">
        <v>204</v>
      </c>
      <c r="F45" s="2">
        <v>3</v>
      </c>
      <c r="G45" s="2">
        <v>4</v>
      </c>
      <c r="H45" s="2">
        <v>2</v>
      </c>
      <c r="I45" s="2">
        <f xml:space="preserve"> SQRT((Table1[[#This Row],[Understandable]]^2) + (Table1[[#This Row],[Findable]]^2))</f>
        <v>4.4721359549995796</v>
      </c>
      <c r="J45" s="2" t="s">
        <v>234</v>
      </c>
    </row>
    <row r="46" spans="1:10" ht="18" x14ac:dyDescent="0.2">
      <c r="A46" s="2" t="s">
        <v>76</v>
      </c>
      <c r="B46" s="2" t="s">
        <v>5</v>
      </c>
      <c r="C46" s="2" t="s">
        <v>20</v>
      </c>
      <c r="D46" s="2" t="s">
        <v>154</v>
      </c>
      <c r="E46" s="2" t="s">
        <v>204</v>
      </c>
      <c r="F46" s="2">
        <v>3</v>
      </c>
      <c r="G46" s="2">
        <v>4</v>
      </c>
      <c r="H46" s="2">
        <v>2</v>
      </c>
      <c r="I46" s="2">
        <f xml:space="preserve"> SQRT((Table1[[#This Row],[Understandable]]^2) + (Table1[[#This Row],[Findable]]^2))</f>
        <v>4.4721359549995796</v>
      </c>
      <c r="J46" s="2" t="s">
        <v>234</v>
      </c>
    </row>
    <row r="47" spans="1:10" ht="36" x14ac:dyDescent="0.2">
      <c r="A47" s="2" t="s">
        <v>73</v>
      </c>
      <c r="B47" s="2" t="s">
        <v>5</v>
      </c>
      <c r="C47" s="2" t="s">
        <v>11</v>
      </c>
      <c r="D47" s="2" t="s">
        <v>136</v>
      </c>
      <c r="E47" s="2" t="s">
        <v>137</v>
      </c>
      <c r="F47" s="2">
        <v>1</v>
      </c>
      <c r="G47" s="2">
        <v>3</v>
      </c>
      <c r="H47" s="2">
        <v>1</v>
      </c>
      <c r="I47" s="2">
        <f xml:space="preserve"> SQRT((Table1[[#This Row],[Understandable]]^2) + (Table1[[#This Row],[Findable]]^2))</f>
        <v>3.1622776601683795</v>
      </c>
      <c r="J47" s="2" t="s">
        <v>148</v>
      </c>
    </row>
    <row r="48" spans="1:10" ht="54" x14ac:dyDescent="0.2">
      <c r="A48" s="2" t="s">
        <v>78</v>
      </c>
      <c r="B48" s="2" t="s">
        <v>5</v>
      </c>
      <c r="C48" s="2" t="s">
        <v>23</v>
      </c>
      <c r="D48" s="2" t="s">
        <v>224</v>
      </c>
      <c r="E48" s="2" t="s">
        <v>237</v>
      </c>
      <c r="F48" s="2">
        <v>4</v>
      </c>
      <c r="I48" s="2">
        <f xml:space="preserve"> SQRT((Table1[[#This Row],[Understandable]]^2) + (Table1[[#This Row],[Findable]]^2))</f>
        <v>0</v>
      </c>
      <c r="J48" s="2" t="s">
        <v>238</v>
      </c>
    </row>
    <row r="49" spans="1:10" ht="18" x14ac:dyDescent="0.2">
      <c r="A49" s="2" t="s">
        <v>68</v>
      </c>
      <c r="B49" s="2" t="s">
        <v>5</v>
      </c>
      <c r="C49" s="2" t="s">
        <v>13</v>
      </c>
      <c r="D49" s="2" t="s">
        <v>144</v>
      </c>
      <c r="E49" s="2" t="s">
        <v>161</v>
      </c>
      <c r="F49" s="2">
        <v>2</v>
      </c>
      <c r="G49" s="2">
        <v>4</v>
      </c>
      <c r="H49" s="2">
        <v>2</v>
      </c>
      <c r="I49" s="2">
        <f xml:space="preserve"> SQRT((Table1[[#This Row],[Understandable]]^2) + (Table1[[#This Row],[Findable]]^2))</f>
        <v>4.4721359549995796</v>
      </c>
    </row>
    <row r="50" spans="1:10" ht="36" x14ac:dyDescent="0.2">
      <c r="A50" s="2" t="s">
        <v>71</v>
      </c>
      <c r="B50" s="2" t="s">
        <v>5</v>
      </c>
      <c r="C50" s="2" t="s">
        <v>16</v>
      </c>
      <c r="D50" s="2" t="s">
        <v>164</v>
      </c>
      <c r="E50" s="2" t="s">
        <v>165</v>
      </c>
      <c r="F50" s="2">
        <v>2</v>
      </c>
      <c r="G50" s="2">
        <v>5</v>
      </c>
      <c r="H50" s="2">
        <v>2</v>
      </c>
      <c r="I50" s="2">
        <f xml:space="preserve"> SQRT((Table1[[#This Row],[Understandable]]^2) + (Table1[[#This Row],[Findable]]^2))</f>
        <v>5.3851648071345037</v>
      </c>
    </row>
    <row r="51" spans="1:10" ht="36" x14ac:dyDescent="0.2">
      <c r="A51" s="2" t="s">
        <v>207</v>
      </c>
      <c r="B51" s="2" t="s">
        <v>5</v>
      </c>
      <c r="C51" s="2" t="s">
        <v>225</v>
      </c>
      <c r="D51" s="2" t="s">
        <v>164</v>
      </c>
      <c r="I51" s="2">
        <f xml:space="preserve"> SQRT((Table1[[#This Row],[Understandable]]^2) + (Table1[[#This Row],[Findable]]^2))</f>
        <v>0</v>
      </c>
    </row>
    <row r="52" spans="1:10" ht="36" x14ac:dyDescent="0.2">
      <c r="A52" s="2" t="s">
        <v>72</v>
      </c>
      <c r="B52" s="2" t="s">
        <v>5</v>
      </c>
      <c r="C52" s="2" t="s">
        <v>17</v>
      </c>
      <c r="D52" s="2" t="s">
        <v>166</v>
      </c>
      <c r="E52" s="2" t="s">
        <v>167</v>
      </c>
      <c r="F52" s="2">
        <v>2</v>
      </c>
      <c r="G52" s="2">
        <v>5</v>
      </c>
      <c r="H52" s="2">
        <v>3</v>
      </c>
      <c r="I52" s="2">
        <f xml:space="preserve"> SQRT((Table1[[#This Row],[Understandable]]^2) + (Table1[[#This Row],[Findable]]^2))</f>
        <v>5.8309518948453007</v>
      </c>
    </row>
    <row r="53" spans="1:10" ht="18" x14ac:dyDescent="0.2">
      <c r="A53" s="2" t="s">
        <v>67</v>
      </c>
      <c r="B53" s="2" t="s">
        <v>5</v>
      </c>
      <c r="C53" s="2" t="s">
        <v>10</v>
      </c>
      <c r="D53" s="2" t="s">
        <v>157</v>
      </c>
      <c r="E53" s="2" t="s">
        <v>158</v>
      </c>
      <c r="F53" s="2">
        <v>2</v>
      </c>
      <c r="G53" s="2">
        <v>4</v>
      </c>
      <c r="H53" s="2">
        <v>3</v>
      </c>
      <c r="I53" s="2">
        <f xml:space="preserve"> SQRT((Table1[[#This Row],[Understandable]]^2) + (Table1[[#This Row],[Findable]]^2))</f>
        <v>5</v>
      </c>
      <c r="J53" s="2" t="s">
        <v>159</v>
      </c>
    </row>
    <row r="54" spans="1:10" ht="18" x14ac:dyDescent="0.2">
      <c r="A54" s="2" t="s">
        <v>75</v>
      </c>
      <c r="B54" s="2" t="s">
        <v>5</v>
      </c>
      <c r="C54" s="2" t="s">
        <v>19</v>
      </c>
      <c r="D54" s="2" t="s">
        <v>171</v>
      </c>
      <c r="E54" s="2" t="s">
        <v>172</v>
      </c>
      <c r="F54" s="2">
        <v>2</v>
      </c>
      <c r="G54" s="2">
        <v>4</v>
      </c>
      <c r="H54" s="2">
        <v>5</v>
      </c>
      <c r="I54" s="2">
        <f xml:space="preserve"> SQRT((Table1[[#This Row],[Understandable]]^2) + (Table1[[#This Row],[Findable]]^2))</f>
        <v>6.4031242374328485</v>
      </c>
    </row>
    <row r="55" spans="1:10" ht="18" x14ac:dyDescent="0.2">
      <c r="A55" s="2" t="s">
        <v>79</v>
      </c>
      <c r="B55" s="2" t="s">
        <v>5</v>
      </c>
      <c r="C55" s="2" t="s">
        <v>201</v>
      </c>
      <c r="D55" s="2" t="s">
        <v>171</v>
      </c>
      <c r="E55" s="2" t="s">
        <v>211</v>
      </c>
      <c r="F55" s="2">
        <v>3</v>
      </c>
      <c r="I55" s="2">
        <f xml:space="preserve"> SQRT((Table1[[#This Row],[Understandable]]^2) + (Table1[[#This Row],[Findable]]^2))</f>
        <v>0</v>
      </c>
    </row>
    <row r="56" spans="1:10" ht="54" x14ac:dyDescent="0.2">
      <c r="A56" s="2" t="s">
        <v>77</v>
      </c>
      <c r="B56" s="2" t="s">
        <v>5</v>
      </c>
      <c r="C56" s="2" t="s">
        <v>22</v>
      </c>
      <c r="D56" s="2" t="s">
        <v>247</v>
      </c>
      <c r="E56" s="2" t="s">
        <v>248</v>
      </c>
      <c r="F56" s="2">
        <v>4</v>
      </c>
      <c r="I56" s="2">
        <f xml:space="preserve"> SQRT((Table1[[#This Row],[Understandable]]^2) + (Table1[[#This Row],[Findable]]^2))</f>
        <v>0</v>
      </c>
    </row>
    <row r="57" spans="1:10" ht="36" x14ac:dyDescent="0.2">
      <c r="A57" s="2" t="s">
        <v>83</v>
      </c>
      <c r="B57" s="2" t="s">
        <v>5</v>
      </c>
      <c r="C57" s="2" t="s">
        <v>21</v>
      </c>
      <c r="D57" s="2" t="s">
        <v>170</v>
      </c>
      <c r="E57" s="2" t="s">
        <v>173</v>
      </c>
      <c r="F57" s="2">
        <v>3</v>
      </c>
      <c r="G57" s="2">
        <v>5</v>
      </c>
      <c r="H57" s="2">
        <v>1</v>
      </c>
      <c r="I57" s="2">
        <f xml:space="preserve"> SQRT((Table1[[#This Row],[Understandable]]^2) + (Table1[[#This Row],[Findable]]^2))</f>
        <v>5.0990195135927845</v>
      </c>
      <c r="J57" s="2" t="s">
        <v>180</v>
      </c>
    </row>
    <row r="58" spans="1:10" ht="18" x14ac:dyDescent="0.2">
      <c r="A58" s="2" t="s">
        <v>60</v>
      </c>
      <c r="B58" s="2" t="s">
        <v>5</v>
      </c>
      <c r="C58" s="2" t="s">
        <v>8</v>
      </c>
      <c r="D58" s="2" t="s">
        <v>152</v>
      </c>
      <c r="E58" s="2" t="s">
        <v>153</v>
      </c>
      <c r="F58" s="2">
        <v>1</v>
      </c>
      <c r="G58" s="2">
        <v>1</v>
      </c>
      <c r="H58" s="2">
        <v>1</v>
      </c>
      <c r="I58" s="2">
        <f xml:space="preserve"> SQRT((Table1[[#This Row],[Understandable]]^2) + (Table1[[#This Row],[Findable]]^2))</f>
        <v>1.4142135623730951</v>
      </c>
    </row>
    <row r="59" spans="1:10" ht="18" x14ac:dyDescent="0.2">
      <c r="A59" s="2" t="s">
        <v>70</v>
      </c>
      <c r="B59" s="2" t="s">
        <v>5</v>
      </c>
      <c r="C59" s="2" t="s">
        <v>15</v>
      </c>
      <c r="D59" s="2" t="s">
        <v>152</v>
      </c>
      <c r="E59" s="2" t="s">
        <v>153</v>
      </c>
      <c r="F59" s="2">
        <v>1</v>
      </c>
      <c r="G59" s="2">
        <v>1</v>
      </c>
      <c r="H59" s="2">
        <v>1</v>
      </c>
      <c r="I59" s="2">
        <f xml:space="preserve"> SQRT((Table1[[#This Row],[Understandable]]^2) + (Table1[[#This Row],[Findable]]^2))</f>
        <v>1.4142135623730951</v>
      </c>
    </row>
    <row r="60" spans="1:10" ht="36" x14ac:dyDescent="0.2">
      <c r="A60" s="2" t="s">
        <v>61</v>
      </c>
      <c r="B60" s="2" t="s">
        <v>5</v>
      </c>
      <c r="C60" s="2" t="s">
        <v>9</v>
      </c>
      <c r="D60" s="2" t="s">
        <v>147</v>
      </c>
      <c r="E60" s="2" t="s">
        <v>196</v>
      </c>
      <c r="F60" s="2">
        <v>2</v>
      </c>
      <c r="G60" s="2">
        <v>5</v>
      </c>
      <c r="H60" s="2">
        <v>3</v>
      </c>
      <c r="I60" s="2">
        <f xml:space="preserve"> SQRT((Table1[[#This Row],[Understandable]]^2) + (Table1[[#This Row],[Findable]]^2))</f>
        <v>5.8309518948453007</v>
      </c>
      <c r="J60" s="2" t="s">
        <v>150</v>
      </c>
    </row>
    <row r="61" spans="1:10" ht="18" x14ac:dyDescent="0.2">
      <c r="A61" s="2" t="s">
        <v>197</v>
      </c>
      <c r="B61" s="2" t="s">
        <v>5</v>
      </c>
      <c r="C61" s="2" t="s">
        <v>200</v>
      </c>
      <c r="D61" s="2" t="s">
        <v>203</v>
      </c>
      <c r="E61" s="2" t="s">
        <v>210</v>
      </c>
      <c r="F61" s="2">
        <v>3</v>
      </c>
      <c r="I61" s="2">
        <f xml:space="preserve"> SQRT((Table1[[#This Row],[Understandable]]^2) + (Table1[[#This Row],[Findable]]^2))</f>
        <v>0</v>
      </c>
    </row>
    <row r="62" spans="1:10" ht="36" x14ac:dyDescent="0.2">
      <c r="A62" s="2" t="s">
        <v>81</v>
      </c>
      <c r="B62" s="2" t="s">
        <v>5</v>
      </c>
      <c r="C62" s="2" t="s">
        <v>25</v>
      </c>
      <c r="D62" s="2" t="s">
        <v>203</v>
      </c>
      <c r="E62" s="2" t="s">
        <v>210</v>
      </c>
      <c r="F62" s="2">
        <v>3</v>
      </c>
      <c r="I62" s="2">
        <f xml:space="preserve"> SQRT((Table1[[#This Row],[Understandable]]^2) + (Table1[[#This Row],[Findable]]^2))</f>
        <v>0</v>
      </c>
    </row>
    <row r="63" spans="1:10" ht="54" x14ac:dyDescent="0.2">
      <c r="A63" s="2" t="s">
        <v>80</v>
      </c>
      <c r="B63" s="2" t="s">
        <v>5</v>
      </c>
      <c r="C63" s="2" t="s">
        <v>24</v>
      </c>
      <c r="D63" s="2" t="s">
        <v>216</v>
      </c>
      <c r="E63" s="2" t="s">
        <v>258</v>
      </c>
      <c r="F63" s="2">
        <v>4</v>
      </c>
      <c r="I63" s="2">
        <f xml:space="preserve"> SQRT((Table1[[#This Row],[Understandable]]^2) + (Table1[[#This Row],[Findable]]^2))</f>
        <v>0</v>
      </c>
      <c r="J63" s="2" t="s">
        <v>259</v>
      </c>
    </row>
    <row r="64" spans="1:10" ht="36" x14ac:dyDescent="0.2">
      <c r="A64" s="2" t="s">
        <v>119</v>
      </c>
      <c r="B64" s="2" t="s">
        <v>55</v>
      </c>
      <c r="C64" s="2" t="s">
        <v>58</v>
      </c>
      <c r="D64" s="2" t="s">
        <v>227</v>
      </c>
      <c r="F64" s="2">
        <v>3</v>
      </c>
      <c r="I64" s="2">
        <f xml:space="preserve"> SQRT((Table1[[#This Row],[Understandable]]^2) + (Table1[[#This Row],[Findable]]^2))</f>
        <v>0</v>
      </c>
    </row>
    <row r="65" spans="1:10" ht="36" x14ac:dyDescent="0.2">
      <c r="A65" s="2" t="s">
        <v>118</v>
      </c>
      <c r="B65" s="2" t="s">
        <v>55</v>
      </c>
      <c r="C65" s="2" t="s">
        <v>57</v>
      </c>
      <c r="D65" s="2" t="s">
        <v>190</v>
      </c>
      <c r="E65" s="2" t="s">
        <v>191</v>
      </c>
      <c r="F65" s="2">
        <v>2</v>
      </c>
      <c r="G65" s="2">
        <v>1</v>
      </c>
      <c r="H65" s="2">
        <v>2</v>
      </c>
      <c r="I65" s="2">
        <f xml:space="preserve"> SQRT((Table1[[#This Row],[Understandable]]^2) + (Table1[[#This Row],[Findable]]^2))</f>
        <v>2.2360679774997898</v>
      </c>
    </row>
    <row r="66" spans="1:10" ht="36" x14ac:dyDescent="0.2">
      <c r="A66" s="2" t="s">
        <v>117</v>
      </c>
      <c r="B66" s="2" t="s">
        <v>55</v>
      </c>
      <c r="C66" s="2" t="s">
        <v>56</v>
      </c>
      <c r="D66" s="2" t="s">
        <v>208</v>
      </c>
      <c r="F66" s="2">
        <v>3</v>
      </c>
      <c r="I66" s="2">
        <f xml:space="preserve"> SQRT((Table1[[#This Row],[Understandable]]^2) + (Table1[[#This Row],[Findable]]^2))</f>
        <v>0</v>
      </c>
    </row>
    <row r="67" spans="1:10" ht="36" x14ac:dyDescent="0.2">
      <c r="A67" s="2" t="s">
        <v>120</v>
      </c>
      <c r="B67" s="2" t="s">
        <v>55</v>
      </c>
      <c r="C67" s="2" t="s">
        <v>59</v>
      </c>
      <c r="D67" s="2" t="s">
        <v>208</v>
      </c>
      <c r="F67" s="2">
        <v>5</v>
      </c>
      <c r="I67" s="2">
        <f xml:space="preserve"> SQRT((Table1[[#This Row],[Understandable]]^2) + (Table1[[#This Row],[Findable]]^2))</f>
        <v>0</v>
      </c>
    </row>
    <row r="68" spans="1:10" ht="36" x14ac:dyDescent="0.2">
      <c r="A68" s="2" t="s">
        <v>64</v>
      </c>
      <c r="B68" s="2" t="s">
        <v>4</v>
      </c>
      <c r="C68" s="2" t="s">
        <v>130</v>
      </c>
      <c r="D68" s="2" t="s">
        <v>219</v>
      </c>
      <c r="F68" s="2">
        <v>5</v>
      </c>
      <c r="I68" s="2">
        <f xml:space="preserve"> SQRT((Table1[[#This Row],[Understandable]]^2) + (Table1[[#This Row],[Findable]]^2))</f>
        <v>0</v>
      </c>
    </row>
    <row r="69" spans="1:10" ht="36" x14ac:dyDescent="0.2">
      <c r="A69" s="2" t="s">
        <v>65</v>
      </c>
      <c r="B69" s="2" t="s">
        <v>4</v>
      </c>
      <c r="C69" s="2" t="s">
        <v>131</v>
      </c>
      <c r="D69" s="2" t="s">
        <v>144</v>
      </c>
      <c r="F69" s="2">
        <v>5</v>
      </c>
      <c r="I69" s="2">
        <f xml:space="preserve"> SQRT((Table1[[#This Row],[Understandable]]^2) + (Table1[[#This Row],[Findable]]^2))</f>
        <v>0</v>
      </c>
    </row>
    <row r="70" spans="1:10" ht="36" x14ac:dyDescent="0.2">
      <c r="A70" s="2" t="s">
        <v>132</v>
      </c>
      <c r="B70" s="2" t="s">
        <v>4</v>
      </c>
      <c r="C70" s="2" t="s">
        <v>122</v>
      </c>
      <c r="D70" s="2" t="s">
        <v>156</v>
      </c>
      <c r="E70" s="2" t="s">
        <v>151</v>
      </c>
      <c r="F70" s="2">
        <v>2</v>
      </c>
      <c r="G70" s="2">
        <v>2</v>
      </c>
      <c r="H70" s="2">
        <v>6</v>
      </c>
      <c r="I70" s="2">
        <f xml:space="preserve"> SQRT((Table1[[#This Row],[Understandable]]^2) + (Table1[[#This Row],[Findable]]^2))</f>
        <v>6.324555320336759</v>
      </c>
    </row>
    <row r="71" spans="1:10" ht="72" x14ac:dyDescent="0.2">
      <c r="A71" s="2" t="s">
        <v>63</v>
      </c>
      <c r="B71" s="2" t="s">
        <v>4</v>
      </c>
      <c r="C71" s="2" t="s">
        <v>125</v>
      </c>
      <c r="D71" s="2" t="s">
        <v>256</v>
      </c>
      <c r="E71" s="2" t="s">
        <v>257</v>
      </c>
      <c r="F71" s="2">
        <v>4</v>
      </c>
      <c r="I71" s="2">
        <f xml:space="preserve"> SQRT((Table1[[#This Row],[Understandable]]^2) + (Table1[[#This Row],[Findable]]^2))</f>
        <v>0</v>
      </c>
    </row>
    <row r="72" spans="1:10" ht="54" x14ac:dyDescent="0.2">
      <c r="A72" s="2" t="s">
        <v>62</v>
      </c>
      <c r="B72" s="2" t="s">
        <v>4</v>
      </c>
      <c r="C72" s="2" t="s">
        <v>6</v>
      </c>
      <c r="D72" s="2" t="s">
        <v>160</v>
      </c>
      <c r="E72" s="2" t="s">
        <v>280</v>
      </c>
      <c r="F72" s="2">
        <v>2</v>
      </c>
      <c r="G72" s="2">
        <v>3</v>
      </c>
      <c r="H72" s="2">
        <v>5</v>
      </c>
      <c r="I72" s="2">
        <f xml:space="preserve"> SQRT((Table1[[#This Row],[Understandable]]^2) + (Table1[[#This Row],[Findable]]^2))</f>
        <v>5.8309518948453007</v>
      </c>
    </row>
    <row r="73" spans="1:10" ht="36" x14ac:dyDescent="0.2">
      <c r="A73" s="2" t="s">
        <v>133</v>
      </c>
      <c r="B73" s="2" t="s">
        <v>4</v>
      </c>
      <c r="C73" s="2" t="s">
        <v>123</v>
      </c>
      <c r="D73" s="2" t="s">
        <v>195</v>
      </c>
      <c r="E73" s="2" t="s">
        <v>255</v>
      </c>
      <c r="F73" s="2">
        <v>3</v>
      </c>
      <c r="I73" s="2">
        <f xml:space="preserve"> SQRT((Table1[[#This Row],[Understandable]]^2) + (Table1[[#This Row],[Findable]]^2))</f>
        <v>0</v>
      </c>
    </row>
    <row r="74" spans="1:10" ht="18" x14ac:dyDescent="0.2">
      <c r="A74" s="2" t="s">
        <v>228</v>
      </c>
      <c r="B74" s="2" t="s">
        <v>229</v>
      </c>
      <c r="C74" s="2" t="s">
        <v>230</v>
      </c>
      <c r="D74" s="2" t="s">
        <v>152</v>
      </c>
      <c r="E74" s="2" t="s">
        <v>244</v>
      </c>
      <c r="I74" s="2">
        <f xml:space="preserve"> SQRT((Table1[[#This Row],[Understandable]]^2) + (Table1[[#This Row],[Findable]]^2))</f>
        <v>0</v>
      </c>
      <c r="J74" s="2" t="s">
        <v>253</v>
      </c>
    </row>
    <row r="75" spans="1:10" s="11" customFormat="1" ht="36" x14ac:dyDescent="0.2">
      <c r="A75" s="11" t="s">
        <v>323</v>
      </c>
      <c r="I75" s="12">
        <f xml:space="preserve"> SQRT((Table1[[#This Row],[Understandable]]^2) + (Table1[[#This Row],[Findable]]^2))</f>
        <v>0</v>
      </c>
    </row>
    <row r="76" spans="1:10" ht="18" x14ac:dyDescent="0.2">
      <c r="A76" s="2" t="s">
        <v>324</v>
      </c>
      <c r="I76" s="10">
        <f xml:space="preserve"> SQRT((Table1[[#This Row],[Understandable]]^2) + (Table1[[#This Row],[Findable]]^2))</f>
        <v>0</v>
      </c>
    </row>
    <row r="77" spans="1:10" ht="36" x14ac:dyDescent="0.2">
      <c r="A77" s="2" t="s">
        <v>325</v>
      </c>
      <c r="I77" s="10">
        <f xml:space="preserve"> SQRT((Table1[[#This Row],[Understandable]]^2) + (Table1[[#This Row],[Findable]]^2))</f>
        <v>0</v>
      </c>
    </row>
    <row r="78" spans="1:10" ht="18" x14ac:dyDescent="0.2">
      <c r="A78" s="2" t="s">
        <v>326</v>
      </c>
      <c r="I78" s="10">
        <f xml:space="preserve"> SQRT((Table1[[#This Row],[Understandable]]^2) + (Table1[[#This Row],[Findable]]^2))</f>
        <v>0</v>
      </c>
    </row>
  </sheetData>
  <phoneticPr fontId="2" type="noConversion"/>
  <conditionalFormatting sqref="D1:D1048576">
    <cfRule type="containsText" dxfId="15" priority="1" operator="containsText" text="East">
      <formula>NOT(ISERROR(SEARCH("East",D1)))</formula>
    </cfRule>
    <cfRule type="containsText" dxfId="14" priority="2" operator="containsText" text="Waiting">
      <formula>NOT(ISERROR(SEARCH("Waiting",D1)))</formula>
    </cfRule>
    <cfRule type="containsText" dxfId="13" priority="3" operator="containsText" text="Sacred">
      <formula>NOT(ISERROR(SEARCH("Sacred",D1)))</formula>
    </cfRule>
    <cfRule type="containsText" dxfId="12" priority="4" operator="containsText" text="Pond">
      <formula>NOT(ISERROR(SEARCH("Pond",D1)))</formula>
    </cfRule>
    <cfRule type="containsText" dxfId="11" priority="5" operator="containsText" text="Balcony">
      <formula>NOT(ISERROR(SEARCH("Balcony",D1)))</formula>
    </cfRule>
    <cfRule type="containsText" dxfId="10"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topLeftCell="F1" workbookViewId="0">
      <selection activeCell="H3" sqref="H3"/>
    </sheetView>
  </sheetViews>
  <sheetFormatPr baseColWidth="10" defaultColWidth="40.83203125" defaultRowHeight="120" customHeight="1" x14ac:dyDescent="0.2"/>
  <cols>
    <col min="1" max="2" width="40.83203125" style="6"/>
    <col min="3" max="3" width="16.5" style="6" customWidth="1"/>
    <col min="4" max="4" width="18.83203125" style="6" customWidth="1"/>
    <col min="5" max="5" width="43.83203125" style="6" customWidth="1"/>
    <col min="6" max="16384" width="40.83203125" style="6"/>
  </cols>
  <sheetData>
    <row r="1" spans="1:8" s="5" customFormat="1" ht="120" customHeight="1" x14ac:dyDescent="0.2">
      <c r="A1" s="5" t="s">
        <v>260</v>
      </c>
      <c r="B1" s="5" t="s">
        <v>262</v>
      </c>
      <c r="C1" s="5" t="s">
        <v>263</v>
      </c>
      <c r="D1" s="5" t="s">
        <v>264</v>
      </c>
      <c r="E1" s="5" t="s">
        <v>261</v>
      </c>
      <c r="F1" s="5" t="s">
        <v>265</v>
      </c>
      <c r="G1" s="5" t="s">
        <v>319</v>
      </c>
      <c r="H1" s="5" t="s">
        <v>266</v>
      </c>
    </row>
    <row r="2" spans="1:8" ht="120" customHeight="1" x14ac:dyDescent="0.2">
      <c r="A2" s="6" t="s">
        <v>267</v>
      </c>
      <c r="B2" s="7" t="s">
        <v>279</v>
      </c>
      <c r="C2" s="6" t="s">
        <v>281</v>
      </c>
      <c r="D2" s="6" t="s">
        <v>282</v>
      </c>
      <c r="E2" s="6" t="s">
        <v>317</v>
      </c>
      <c r="F2" s="6" t="s">
        <v>315</v>
      </c>
      <c r="H2" s="6" t="s">
        <v>335</v>
      </c>
    </row>
    <row r="3" spans="1:8" ht="120" customHeight="1" x14ac:dyDescent="0.2">
      <c r="A3" s="6" t="s">
        <v>268</v>
      </c>
      <c r="B3" s="7" t="s">
        <v>299</v>
      </c>
      <c r="C3" s="6" t="s">
        <v>283</v>
      </c>
      <c r="D3" s="6" t="s">
        <v>284</v>
      </c>
      <c r="E3" s="6" t="s">
        <v>316</v>
      </c>
      <c r="F3" s="6" t="s">
        <v>318</v>
      </c>
    </row>
    <row r="4" spans="1:8" ht="120" customHeight="1" x14ac:dyDescent="0.2">
      <c r="A4" s="6" t="s">
        <v>269</v>
      </c>
      <c r="B4" s="7" t="s">
        <v>300</v>
      </c>
      <c r="C4" s="6" t="s">
        <v>283</v>
      </c>
      <c r="D4" s="6" t="s">
        <v>285</v>
      </c>
      <c r="E4" s="6" t="s">
        <v>320</v>
      </c>
      <c r="F4" s="6" t="s">
        <v>321</v>
      </c>
      <c r="H4" s="6" t="s">
        <v>331</v>
      </c>
    </row>
    <row r="5" spans="1:8" ht="120" customHeight="1" x14ac:dyDescent="0.2">
      <c r="A5" s="6" t="s">
        <v>271</v>
      </c>
      <c r="B5" s="6" t="s">
        <v>301</v>
      </c>
      <c r="C5" s="6" t="s">
        <v>288</v>
      </c>
      <c r="D5" s="6" t="s">
        <v>289</v>
      </c>
      <c r="H5" s="6" t="s">
        <v>327</v>
      </c>
    </row>
    <row r="6" spans="1:8" ht="120" customHeight="1" x14ac:dyDescent="0.2">
      <c r="A6" s="6" t="s">
        <v>272</v>
      </c>
      <c r="B6" s="7" t="s">
        <v>302</v>
      </c>
      <c r="C6" s="6" t="s">
        <v>290</v>
      </c>
      <c r="D6" s="6" t="s">
        <v>291</v>
      </c>
      <c r="E6" s="6" t="s">
        <v>328</v>
      </c>
      <c r="F6" s="6" t="s">
        <v>329</v>
      </c>
      <c r="H6" s="6" t="s">
        <v>330</v>
      </c>
    </row>
    <row r="7" spans="1:8" ht="120" customHeight="1" x14ac:dyDescent="0.2">
      <c r="A7" s="6" t="s">
        <v>274</v>
      </c>
      <c r="B7" s="6" t="s">
        <v>304</v>
      </c>
      <c r="C7" s="6" t="s">
        <v>290</v>
      </c>
      <c r="D7" s="6" t="s">
        <v>294</v>
      </c>
    </row>
    <row r="8" spans="1:8" ht="120" customHeight="1" x14ac:dyDescent="0.2">
      <c r="A8" s="9" t="s">
        <v>275</v>
      </c>
      <c r="B8" s="8" t="s">
        <v>306</v>
      </c>
      <c r="C8" s="9" t="s">
        <v>290</v>
      </c>
      <c r="D8" s="9" t="s">
        <v>295</v>
      </c>
      <c r="E8" s="9"/>
      <c r="F8" s="9"/>
      <c r="G8" s="9"/>
      <c r="H8" s="9"/>
    </row>
    <row r="9" spans="1:8" ht="120" customHeight="1" x14ac:dyDescent="0.2">
      <c r="A9" s="6" t="s">
        <v>273</v>
      </c>
      <c r="B9" s="6" t="s">
        <v>303</v>
      </c>
      <c r="C9" s="6" t="s">
        <v>292</v>
      </c>
      <c r="D9" s="6" t="s">
        <v>293</v>
      </c>
      <c r="E9" s="6" t="s">
        <v>333</v>
      </c>
      <c r="F9" s="6" t="s">
        <v>334</v>
      </c>
      <c r="G9" s="6" t="s">
        <v>332</v>
      </c>
    </row>
    <row r="10" spans="1:8" s="9" customFormat="1" ht="120" customHeight="1" x14ac:dyDescent="0.2">
      <c r="A10" s="6" t="s">
        <v>276</v>
      </c>
      <c r="B10" s="6" t="s">
        <v>305</v>
      </c>
      <c r="C10" s="6" t="s">
        <v>292</v>
      </c>
      <c r="D10" s="6" t="s">
        <v>296</v>
      </c>
      <c r="E10" s="6"/>
      <c r="F10" s="6"/>
      <c r="G10" s="6"/>
      <c r="H10" s="6"/>
    </row>
    <row r="11" spans="1:8" ht="120" customHeight="1" x14ac:dyDescent="0.2">
      <c r="A11" s="6" t="s">
        <v>270</v>
      </c>
      <c r="B11" s="7" t="s">
        <v>309</v>
      </c>
      <c r="C11" s="6" t="s">
        <v>286</v>
      </c>
      <c r="D11" s="6" t="s">
        <v>287</v>
      </c>
      <c r="E11" s="6" t="s">
        <v>310</v>
      </c>
      <c r="F11" s="6" t="s">
        <v>314</v>
      </c>
      <c r="G11" s="7" t="s">
        <v>322</v>
      </c>
    </row>
    <row r="12" spans="1:8" ht="120" customHeight="1" x14ac:dyDescent="0.2">
      <c r="A12" s="6" t="s">
        <v>277</v>
      </c>
      <c r="B12" s="7" t="s">
        <v>307</v>
      </c>
      <c r="C12" s="6" t="s">
        <v>286</v>
      </c>
      <c r="D12" s="6" t="s">
        <v>297</v>
      </c>
    </row>
    <row r="13" spans="1:8" ht="120" customHeight="1" x14ac:dyDescent="0.2">
      <c r="A13" s="6" t="s">
        <v>311</v>
      </c>
      <c r="C13" s="6" t="s">
        <v>286</v>
      </c>
      <c r="D13" s="6" t="s">
        <v>312</v>
      </c>
      <c r="E13" s="6" t="s">
        <v>313</v>
      </c>
    </row>
    <row r="14" spans="1:8" ht="120" customHeight="1" x14ac:dyDescent="0.2">
      <c r="A14" s="6" t="s">
        <v>278</v>
      </c>
      <c r="B14" s="6" t="s">
        <v>308</v>
      </c>
      <c r="C14" s="6" t="s">
        <v>286</v>
      </c>
      <c r="D14" s="6"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2026-01-03T13:43:18Z</dcterms:modified>
</cp:coreProperties>
</file>