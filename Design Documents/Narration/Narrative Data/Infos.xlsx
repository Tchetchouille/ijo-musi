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jeremias/Desktop/UNIL/MASTER/PROJET_ISH/ijo-musi/Design Documents/Narration/Narrative Data/"/>
    </mc:Choice>
  </mc:AlternateContent>
  <xr:revisionPtr revIDLastSave="0" documentId="13_ncr:1_{BD697228-2E74-BB41-B231-6D94A444F34D}" xr6:coauthVersionLast="47" xr6:coauthVersionMax="47" xr10:uidLastSave="{00000000-0000-0000-0000-000000000000}"/>
  <bookViews>
    <workbookView xWindow="0" yWindow="740" windowWidth="28520" windowHeight="17260" activeTab="1" xr2:uid="{09E5F364-D8F4-704D-9AEF-8348B3D4D38B}"/>
  </bookViews>
  <sheets>
    <sheet name="Narration" sheetId="1" r:id="rId1"/>
    <sheet name="proto scen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8" i="1" l="1"/>
  <c r="I77" i="1"/>
  <c r="I76" i="1"/>
  <c r="I75" i="1"/>
  <c r="I74" i="1"/>
  <c r="I13" i="1"/>
  <c r="I51" i="1"/>
  <c r="I43" i="1"/>
  <c r="I32" i="1"/>
  <c r="I38" i="1"/>
  <c r="I5" i="1"/>
  <c r="I42" i="1"/>
  <c r="I58" i="1"/>
  <c r="I47" i="1"/>
  <c r="I44" i="1"/>
  <c r="I59" i="1"/>
  <c r="I30" i="1"/>
  <c r="I9" i="1"/>
  <c r="I10" i="1"/>
  <c r="I16" i="1"/>
  <c r="I72" i="1"/>
  <c r="I70" i="1"/>
  <c r="I60" i="1"/>
  <c r="I53" i="1"/>
  <c r="I49" i="1"/>
  <c r="I50" i="1"/>
  <c r="I52" i="1"/>
  <c r="I54" i="1"/>
  <c r="I35" i="1"/>
  <c r="I7" i="1"/>
  <c r="I19" i="1"/>
  <c r="I40" i="1"/>
  <c r="I23" i="1"/>
  <c r="I31" i="1"/>
  <c r="I65" i="1"/>
  <c r="I73" i="1"/>
  <c r="I45" i="1"/>
  <c r="I46" i="1"/>
  <c r="I57" i="1"/>
  <c r="I61" i="1"/>
  <c r="I55" i="1"/>
  <c r="I62" i="1"/>
  <c r="I15" i="1"/>
  <c r="I6" i="1"/>
  <c r="I14" i="1"/>
  <c r="I24" i="1"/>
  <c r="I3" i="1"/>
  <c r="I11" i="1"/>
  <c r="I17" i="1"/>
  <c r="I41" i="1"/>
  <c r="I37" i="1"/>
  <c r="I8" i="1"/>
  <c r="I20" i="1"/>
  <c r="I21" i="1"/>
  <c r="I22" i="1"/>
  <c r="I4" i="1"/>
  <c r="I27" i="1"/>
  <c r="I66" i="1"/>
  <c r="I64" i="1"/>
  <c r="I71" i="1"/>
  <c r="I56" i="1"/>
  <c r="I48" i="1"/>
  <c r="I63" i="1"/>
  <c r="I33" i="1"/>
  <c r="I39" i="1"/>
  <c r="I36" i="1"/>
  <c r="I18" i="1"/>
  <c r="I28" i="1"/>
  <c r="I34" i="1"/>
  <c r="I68" i="1"/>
  <c r="I69" i="1"/>
  <c r="I29" i="1"/>
  <c r="I25" i="1"/>
  <c r="I26" i="1"/>
  <c r="I2" i="1"/>
  <c r="I12" i="1"/>
  <c r="I67" i="1"/>
</calcChain>
</file>

<file path=xl/sharedStrings.xml><?xml version="1.0" encoding="utf-8"?>
<sst xmlns="http://schemas.openxmlformats.org/spreadsheetml/2006/main" count="451" uniqueCount="340">
  <si>
    <t>Name</t>
  </si>
  <si>
    <t>Info</t>
  </si>
  <si>
    <t>Timing / 5</t>
  </si>
  <si>
    <t>Mystery</t>
  </si>
  <si>
    <t xml:space="preserve">Skeleton </t>
  </si>
  <si>
    <t xml:space="preserve">Cult’s Rituals </t>
  </si>
  <si>
    <t xml:space="preserve">∗  The cause of death was poison. (Early-Mid) </t>
  </si>
  <si>
    <t>Medium</t>
  </si>
  <si>
    <t>∗ The cult was whorshipping ”sewi”, the toki pona concept of divinity. (Early)</t>
  </si>
  <si>
    <t>∗ The cult considered ”pona” (simplicity) to be the highest quality of ”sewi”. (Early-Mid)</t>
  </si>
  <si>
    <t>∗ The Enlightened One was the founder of the cult. (Early-Mid)</t>
  </si>
  <si>
    <t>∗ The cult made tools out of clay-magic. (Early)</t>
  </si>
  <si>
    <t>Room</t>
  </si>
  <si>
    <t>∗ The tool was stolen. (Mid-Late)</t>
  </si>
  <si>
    <t>∗ The cult made a bunch of clay mannequins. (Early)</t>
  </si>
  <si>
    <t>∗ The cult believed that souls were a part of ”sewi”. (Early)</t>
  </si>
  <si>
    <t>∗ The cult wanted to make an artificial person (to put a part of ”sewi” in an artificially made body). (Early-Mid)</t>
  </si>
  <si>
    <t>∗ The cult wanted to use clay-magic to create the artificial person. (Early- Mid)</t>
  </si>
  <si>
    <t>∗ The artificial person was supposed to become a ”perfect mind”. (Mid)</t>
  </si>
  <si>
    <t>∗ The cult succeeded in creating the clay-person. (Early-Mid)</t>
  </si>
  <si>
    <t>∗ The cult wanted to use toki pona to shape the mind of the clay-person. (Mid)</t>
  </si>
  <si>
    <t>∗ The Shaped One is the clay-person. (Mid)</t>
  </si>
  <si>
    <t>∗ A mirror was needed to put the ”sewi” into the clay-person. (Mid-Late)</t>
  </si>
  <si>
    <t>∗ The mirror is in the secret room. (Mid-Late)</t>
  </si>
  <si>
    <t>∗ To open the secret room, the user needs to ”toki lon” (”speak the truth” or ”tell what is”, which means answering the door’s questions). (Mid- Late)</t>
  </si>
  <si>
    <t>∗ The door’s questions are never the same, they change with the events that occur within the temple. (Mid)</t>
  </si>
  <si>
    <t>Character’s Fate</t>
  </si>
  <si>
    <t>∗ The Enlightened One is dead and burried in the sacred resting place.
(Early)</t>
  </si>
  <si>
    <t>∗ The Enlightened One died of food poisoning. (Early-Mid)</t>
  </si>
  <si>
    <t>∗ The Loose One was responsible for the preparation of the meal that killed the Enlightened One. (Mid)</t>
  </si>
  <si>
    <t>∗ The Enlightened One considered the Rigid One and the Loose One to be equal disciples. (Mid)</t>
  </si>
  <si>
    <t>∗ Someone poisonned the Enlightened One’s last meal. (Mid-Late)</t>
  </si>
  <si>
    <t>∗ The Enlightened One knew the meal was poisonned. (Late)</t>
  </si>
  <si>
    <t>∗ The Rigid One poisonned the meal that killed the Enlightened One. (Late)</t>
  </si>
  <si>
    <t>∗ The Rigid One joined the cult first, the Loose One joined later. (Early- Mid)</t>
  </si>
  <si>
    <t>∗ The Loose One tended to neglect her duties. (Early)</t>
  </si>
  <si>
    <t>∗ The Loose One played a lot of musical instruments. (Early-Mid)</t>
  </si>
  <si>
    <t>∗ The Loose One and the Shaped One had fun together. (Early-Mid)</t>
  </si>
  <si>
    <t>∗ The Loose One was manipulating the Shaped One. She used them to do her chores, was lovebombing them, etc. (Mid-Late)</t>
  </si>
  <si>
    <t>∗ The Rigid One tended to give orders to the others. (Early)</t>
  </si>
  <si>
    <t>∗ The Rigid One was pushing for the creation of the Shaped One, but the
Enlightened One considered them not to be ready. (Mid)</t>
  </si>
  <si>
    <t>∗ The Rigid One showed love to both the Loose One and the Shaped One. (Mid)</t>
  </si>
  <si>
    <t>∗ The Shaped One realized that the Loose One was manipulative after a
talk with the Rigid One. (Mid-Late)</t>
  </si>
  <si>
    <t>∗ The Shaped One knew nothing at first. (Early-Mid)</t>
  </si>
  <si>
    <t>∗ The Shaped One struggled with some toki pona concepts (main example: binary gender). (Mid)</t>
  </si>
  <si>
    <t>∗ The Shaped One brought new words to toki pona. (Words from the second toki pona book) (Mid)</t>
  </si>
  <si>
    <t>∗ The Loose One found the new words ingenious and useful. (Mid)</t>
  </si>
  <si>
    <t>∗ The Rigid One strongly disapproved of the new words. (Mid)</t>
  </si>
  <si>
    <t>∗ The Shaped One resented the Rigid One for its strictness. (Early)</t>
  </si>
  <si>
    <t>∗ The tool was actually made for the Shaped One. (Mid)</t>
  </si>
  <si>
    <t>∗ The tool was made long before the Shaped One. (Mid)</t>
  </si>
  <si>
    <t>∗ Before the Shaped One was made, it was forbidden to use the tool except for specific rituals. (Mid)</t>
  </si>
  <si>
    <t>∗ The Shaped One used the tool to train their toki pona skills. (Mid)</t>
  </si>
  <si>
    <t>∗ The Rigid One forbid the Shaped One to use the tool on the Enlightened
One’s grave. (Mid)</t>
  </si>
  <si>
    <t>∗ The Shaped One found the bottle of poison in the Rigid One’s room. (Late)</t>
  </si>
  <si>
    <t>Player Character’s Identity</t>
  </si>
  <si>
    <t>∗ The player character is a clay-person. (Early or Late, depending on if
they notice the hands)</t>
  </si>
  <si>
    <t>∗ The player character is looking for the ”first person”. (Early-Mid)</t>
  </si>
  <si>
    <t>∗ The ”first person” is the Shaped One. (Mid)</t>
  </si>
  <si>
    <t>∗ The Shaped One founded a whole race of clay-people. (Late)</t>
  </si>
  <si>
    <t>sewi</t>
  </si>
  <si>
    <t>pona</t>
  </si>
  <si>
    <t>cause of death</t>
  </si>
  <si>
    <t>murderer</t>
  </si>
  <si>
    <t>motive 1</t>
  </si>
  <si>
    <t>motive 2</t>
  </si>
  <si>
    <t>temple</t>
  </si>
  <si>
    <t>founder</t>
  </si>
  <si>
    <t>stolen tool</t>
  </si>
  <si>
    <t>mannequins</t>
  </si>
  <si>
    <t>souls</t>
  </si>
  <si>
    <t>artificial person</t>
  </si>
  <si>
    <t>clay-magic and artificial person</t>
  </si>
  <si>
    <t>clay-magic</t>
  </si>
  <si>
    <t>perfect mind</t>
  </si>
  <si>
    <t>success</t>
  </si>
  <si>
    <t>shape with toki pona</t>
  </si>
  <si>
    <t>mirror</t>
  </si>
  <si>
    <t>mirror location</t>
  </si>
  <si>
    <t>the tool is the key</t>
  </si>
  <si>
    <t>toki lon</t>
  </si>
  <si>
    <t>door's questions</t>
  </si>
  <si>
    <t>EO death</t>
  </si>
  <si>
    <t>SO = clay person</t>
  </si>
  <si>
    <t>EO food poisoning</t>
  </si>
  <si>
    <t>LO meal</t>
  </si>
  <si>
    <t>RO = LO</t>
  </si>
  <si>
    <t>poison</t>
  </si>
  <si>
    <t>EO knew</t>
  </si>
  <si>
    <t>RO used poison</t>
  </si>
  <si>
    <t>RO first, LO second</t>
  </si>
  <si>
    <t>LO neglectufl</t>
  </si>
  <si>
    <t>LO loves music</t>
  </si>
  <si>
    <t>LO and SO had fun</t>
  </si>
  <si>
    <t>LO's manipulation</t>
  </si>
  <si>
    <t>∗ The Rigid One was infuriated to learn that the Enlightened One considered him as equal to the Loose One in toki pona worship. (Mid)</t>
  </si>
  <si>
    <t>RO's fury</t>
  </si>
  <si>
    <t>RO gives orders</t>
  </si>
  <si>
    <t>RO is pushy</t>
  </si>
  <si>
    <t>RO loved LO and SO</t>
  </si>
  <si>
    <t>RO liked plants</t>
  </si>
  <si>
    <t>SO realized LO's manipulation</t>
  </si>
  <si>
    <t>SO knows nothing</t>
  </si>
  <si>
    <t>SO struggles</t>
  </si>
  <si>
    <t>new words</t>
  </si>
  <si>
    <t>LO loves new words</t>
  </si>
  <si>
    <t>SO resents RO</t>
  </si>
  <si>
    <t>RO hates new words</t>
  </si>
  <si>
    <t>tool for SO</t>
  </si>
  <si>
    <t>old tool</t>
  </si>
  <si>
    <t>forbidden tool</t>
  </si>
  <si>
    <t>learning tool</t>
  </si>
  <si>
    <t>no tool on grave</t>
  </si>
  <si>
    <t>tool on grave</t>
  </si>
  <si>
    <t>suspicions</t>
  </si>
  <si>
    <t>bottle of poison</t>
  </si>
  <si>
    <t>confrontation</t>
  </si>
  <si>
    <t>player = clay-person</t>
  </si>
  <si>
    <t>first person</t>
  </si>
  <si>
    <t>first person = SO</t>
  </si>
  <si>
    <t>So started a race of clay-people</t>
  </si>
  <si>
    <t xml:space="preserve">∗ The ruins are a temple. (Early) </t>
  </si>
  <si>
    <t xml:space="preserve">∗  The skeletton commited suicide. (Early-Mid) </t>
  </si>
  <si>
    <t xml:space="preserve">∗ The skeletton was the Rigid One. (Mid) </t>
  </si>
  <si>
    <t>∗ The Loose One left the temple, leaving behind the Rigid One and the Shaped One. (Mid)</t>
  </si>
  <si>
    <t xml:space="preserve">∗ The Rigid One commited suicide after the Shaped One left, and after some harsh but true words. (Mid-Late) </t>
  </si>
  <si>
    <t>LO left</t>
  </si>
  <si>
    <t>LO fled</t>
  </si>
  <si>
    <t>∗ The Loose One fled the temple after the Shaped One confronted them on their manipulation. (Mid-Late)</t>
  </si>
  <si>
    <t>∗ The Shaped One had a suspicion that the Enlightened One's death was no accident. (Mid-Late)</t>
  </si>
  <si>
    <t xml:space="preserve">∗ The main reason for the fight: the Rigid One was keeping the Shaped One captive. (Late) </t>
  </si>
  <si>
    <t xml:space="preserve">∗ The secondary reason for the fight: the Rigid One is responsible for the death of the Enlightened One. (Late) </t>
  </si>
  <si>
    <t>suicide</t>
  </si>
  <si>
    <t>skeleton id</t>
  </si>
  <si>
    <t>Ideas and notes</t>
  </si>
  <si>
    <t>…</t>
  </si>
  <si>
    <t>&lt;&gt; Craft Room
&lt;&gt; …</t>
  </si>
  <si>
    <t>&lt;&gt; Stuff made of clay
&lt;&gt; Murals (Craft Room)</t>
  </si>
  <si>
    <t>&lt;&gt; EO's name on grave
&lt;&gt; Poem on EO's grave
&lt;&gt; Other scenes mentionning EO's death</t>
  </si>
  <si>
    <t>&lt;&gt; Sacred Resting Place
&lt;&gt; …</t>
  </si>
  <si>
    <t>room change</t>
  </si>
  <si>
    <t>∗ The Rigid One took the room of the Enlightened One after their death.</t>
  </si>
  <si>
    <t>&lt;&gt; Dining Room</t>
  </si>
  <si>
    <t xml:space="preserve">&lt;&gt; Dining Room
&lt;&gt; … </t>
  </si>
  <si>
    <t>&lt;&gt; Library</t>
  </si>
  <si>
    <t>&lt;&gt; Punishment scene (linked to copied text)</t>
  </si>
  <si>
    <t>&lt;&gt; Plant scene (linked to dead plants)
&lt;&gt; …</t>
  </si>
  <si>
    <t>&lt;&gt; Waiting Room
&lt;&gt; Prayer Room</t>
  </si>
  <si>
    <t>Lock Craft Room behind puzzle?</t>
  </si>
  <si>
    <t>Lock Library behind puzzle?</t>
  </si>
  <si>
    <t>Lock Prayer Room behind puzzle?</t>
  </si>
  <si>
    <t>&lt;&gt; Flask
&lt;&gt; Suicide letter</t>
  </si>
  <si>
    <t>&lt;&gt; Waiting Room</t>
  </si>
  <si>
    <t>&lt;&gt; Murals (Waiting Room)</t>
  </si>
  <si>
    <t>&lt;&gt; Craft Room</t>
  </si>
  <si>
    <t>&lt;&gt; Mannequins</t>
  </si>
  <si>
    <t>&lt;&gt; Waiting room</t>
  </si>
  <si>
    <t>&lt;&gt; RO's Room</t>
  </si>
  <si>
    <t>&lt;&gt; Murals (RO's Room)</t>
  </si>
  <si>
    <t>Lock RO's Room behind puzzle?</t>
  </si>
  <si>
    <t>&lt;&gt; Waiting room
&lt;&gt; Hall</t>
  </si>
  <si>
    <t>&lt;&gt; Empty tool rack</t>
  </si>
  <si>
    <t>LO's death</t>
  </si>
  <si>
    <t>∗ The Rigid One said to the Shaped One that the Loose One committed suicide.</t>
  </si>
  <si>
    <t>&lt;&gt; Prayer Room</t>
  </si>
  <si>
    <t>&lt;&gt; Murals (Prayer Room)</t>
  </si>
  <si>
    <t>&lt;&gt; Prayer Room
&lt;&gt; Craft Room</t>
  </si>
  <si>
    <t>&lt;&gt; Murals (Prayer Room)
&lt;&gt; Mannequins</t>
  </si>
  <si>
    <t>&lt;&gt; Toilets
&lt;&gt; Kitchen</t>
  </si>
  <si>
    <t>&lt;&gt; Vomitting scene (linked to toilets)
&lt;&gt; Mushroom scene (linked to kitchen knife)</t>
  </si>
  <si>
    <t>&lt;&gt; SO's Room</t>
  </si>
  <si>
    <t>&lt;&gt; Sacred Resting Place</t>
  </si>
  <si>
    <t>&lt;&gt; Awakening scene (linked to mirror frame)</t>
  </si>
  <si>
    <t>&lt;&gt; First words scene (linked to SO's bed)
&lt;&gt; SO's first doodles and written words</t>
  </si>
  <si>
    <t>SO's gender</t>
  </si>
  <si>
    <t>∗ The Shaped One was non-binary.</t>
  </si>
  <si>
    <t>&lt;&gt; New words scene (linked to ???)</t>
  </si>
  <si>
    <t>&lt;&gt; Dispute scene (linked to framed broken plate "never fight again")</t>
  </si>
  <si>
    <t>&lt;&gt; LO's Room
&lt;&gt; Washing Station</t>
  </si>
  <si>
    <t>&lt;&gt; LO's lute
&lt;&gt; Singing scene (linked to campfire pit)</t>
  </si>
  <si>
    <t>Lock SO's Room behind puzzle?</t>
  </si>
  <si>
    <t>&lt;&gt; Singing scene (linked to campfire pit)
&lt;&gt; Teaching scene (linked to SO's first written words)
&lt;&gt; Playing scene (linked to dice)</t>
  </si>
  <si>
    <t>&lt;&gt; Washing Station
&lt;&gt; SO's Room
&lt;&gt; Waiting Room</t>
  </si>
  <si>
    <t>Lock LO's Room behind puzzle?</t>
  </si>
  <si>
    <t>teaching material</t>
  </si>
  <si>
    <t>∗ The Loose One made all of the teaching material found throughout the game.</t>
  </si>
  <si>
    <t>∗ The Rigid One liked to paint. (Early-Mid)</t>
  </si>
  <si>
    <t>&lt;&gt; Drawings in RO's Room
&lt;&gt; Murals scene (linked to discarded genesis of faith murals)</t>
  </si>
  <si>
    <t>&lt;&gt; Sacred Resting Place
&lt;&gt; SO's Room</t>
  </si>
  <si>
    <t>&lt;&gt; Awakening scene (linked to mirror frame)
&lt;&gt; First words scene (linked to SO's bed)</t>
  </si>
  <si>
    <t>&lt;&gt; Corridor (Hall - Waiting Room)</t>
  </si>
  <si>
    <t>&lt;&gt; PC's notes</t>
  </si>
  <si>
    <t>Findable</t>
  </si>
  <si>
    <t>Understandable</t>
  </si>
  <si>
    <t>Difficulty</t>
  </si>
  <si>
    <t>&lt;&gt; Waiting Room
&lt;&gt; RO's Room</t>
  </si>
  <si>
    <t>&lt;&gt; Murals (Waiting Room)
&lt;&gt; Prayer scene (linked to lectern)</t>
  </si>
  <si>
    <t>secret room access</t>
  </si>
  <si>
    <t>secret room existence</t>
  </si>
  <si>
    <t>∗ There exists a secret room. (Mid)</t>
  </si>
  <si>
    <t>∗ The Secret Room was accessible only by the Enlightened One. (Mid)</t>
  </si>
  <si>
    <t>∗ The Enlightened One was using the tool as a key for the secret room. (Mid)</t>
  </si>
  <si>
    <t>&lt;&gt; Balcony
&lt;&gt; West Staircase</t>
  </si>
  <si>
    <t>&lt;&gt; West Staircase</t>
  </si>
  <si>
    <t>&lt;&gt; RO's mural explanation to LO scene (linked to Prayer Room mural)</t>
  </si>
  <si>
    <t>RO secret room access</t>
  </si>
  <si>
    <t>∗ RO accessed the secret room to take the mirror and to put it back.</t>
  </si>
  <si>
    <t>EO's hope</t>
  </si>
  <si>
    <t>&lt;&gt; Secret Room</t>
  </si>
  <si>
    <t>&lt;&gt; EO's message to SO.</t>
  </si>
  <si>
    <t>&lt;&gt; RO's Secret Room explanation to SO scene (linked to Secret Room door)</t>
  </si>
  <si>
    <t>&lt;&gt; RO's eloge of EO to SO scene. (linked to EO's tomb)</t>
  </si>
  <si>
    <t>&lt;&gt; Kitchen</t>
  </si>
  <si>
    <t>&lt;&gt; Crops</t>
  </si>
  <si>
    <t>&lt;&gt; Wasing Station</t>
  </si>
  <si>
    <t>&lt;&gt; Washing Station</t>
  </si>
  <si>
    <t>&lt;&gt; West Staircase
&lt;&gt; East Staircase</t>
  </si>
  <si>
    <t>&lt;&gt; Washing Station
&lt;&gt; Crops
&lt;&gt; Kitchen
&lt;&gt; Library</t>
  </si>
  <si>
    <t>∗ Using the tool on the Enlightened One’s grave, the Shaped One heard a confession of the Rigid One, begging pardon to the Enlightened One for his actions (but the nature of the actions remain a mystery). (Mid-Late)</t>
  </si>
  <si>
    <t>&lt;&gt; Hall</t>
  </si>
  <si>
    <t>∗ The Shaped One confronted the Rigid One for the murder of the Enlightened One. (Late)</t>
  </si>
  <si>
    <t>&lt;&gt; Balcony</t>
  </si>
  <si>
    <t>&lt;&gt; LO's Room</t>
  </si>
  <si>
    <t>&lt;&gt; Dining Room
&lt;&gt; RO's Room</t>
  </si>
  <si>
    <t>&lt;&gt; East Staircase</t>
  </si>
  <si>
    <t>∗ EO hoped for the artificial people to become a freer and better version of humans.</t>
  </si>
  <si>
    <t>&lt;&gt; …</t>
  </si>
  <si>
    <t xml:space="preserve">&lt;&gt; … </t>
  </si>
  <si>
    <t>broken barrier</t>
  </si>
  <si>
    <t>Temple</t>
  </si>
  <si>
    <t>* The barrier on the Balcony is broken (Mid)</t>
  </si>
  <si>
    <t>&lt;&gt; The Secret Room is visible from the Balcony.
&lt;&gt; The door to the Secret Room stands in the West Staircase.</t>
  </si>
  <si>
    <t>&lt;&gt; Fight scene 1/3 (linked to empty poison bottle)</t>
  </si>
  <si>
    <t>The fight starts there, then goes to the hall, then to the library, which is burnt at this point(?)
The empty bottle rests on the cliff, behind the broken barrier.</t>
  </si>
  <si>
    <t>Maybe no scene, just the murals ?</t>
  </si>
  <si>
    <t>Literraly only sound of scratching and RO swearing "pakala!"</t>
  </si>
  <si>
    <t>&lt;&gt; "pakala !" scene (linked to piece of frame stuck in the scratch on the wall)</t>
  </si>
  <si>
    <t>&lt;&gt; Player has to make the link between piece of frame and rest of frame in the Pond</t>
  </si>
  <si>
    <t>The frame should have a unique color. Texture won't be seen with ascii filter. Maybe wood with golden decoration? Why not sitelen sitelen decoration even?</t>
  </si>
  <si>
    <t>&lt;&gt; Forbidding scene (linked to the "keep out" sign on the barricade)</t>
  </si>
  <si>
    <t>The sign and "barricade" are broken (SO broke them when they went to visit the grave)
We can hear RO nail the sign to the barricade in the scene.</t>
  </si>
  <si>
    <t>&lt;&gt; Confession scene (linked to grave)
&lt;&gt; Fight scene 1/3 (linked to poison bottle on Balcony)</t>
  </si>
  <si>
    <t>&lt;&gt; Sacred Resting Place
&lt;&gt; Balcony</t>
  </si>
  <si>
    <t>&lt;&gt; Waiting</t>
  </si>
  <si>
    <t>&lt;&gt; Plants scene (linked to plants)</t>
  </si>
  <si>
    <t>EO says that what is is, and what is is sacred. "ale li sewi", echoing the sentence said by LO in the plant scene.
EO asks to be left alone with RO.
Something like "I do wish you used a less painful way to make me go."
Maybe atlk about the fact that they mistook their own enlightenment for the ability to teach it.</t>
  </si>
  <si>
    <t>&lt;&gt; Death scene (linked to tree)</t>
  </si>
  <si>
    <t>&lt;&gt; Sacred Resting Place
&lt;&gt; Craft Room ?
&lt;&gt; Prayer Room</t>
  </si>
  <si>
    <t>&lt;&gt; Mirror frame (Pond)
&lt;&gt; Murals (Prayer Room)</t>
  </si>
  <si>
    <t>&lt;&gt; Argument scene (linked to discarded clay head)</t>
  </si>
  <si>
    <t>"You need to work on your own awareness before you bring a new one into the world"</t>
  </si>
  <si>
    <t>&lt;&gt; Waiting Room
&lt;&gt; Crops</t>
  </si>
  <si>
    <t>&lt;&gt; RO blames LO scene (linked to broken plant pot)</t>
  </si>
  <si>
    <t>Add breaking of pot in this scene ?</t>
  </si>
  <si>
    <t>Have RO be sweet/gentle towards SO. Make the lin between the broken clay pot and the fear that LO will break the clay person (SO).</t>
  </si>
  <si>
    <t>&lt;&gt; EO's pendant
&lt;&gt; Make link between global info and suicide letter</t>
  </si>
  <si>
    <t>&lt;&gt; Balcony
&lt;&gt; Hall
&lt;&gt; Library
&lt;&gt; Waiting Room</t>
  </si>
  <si>
    <t>&lt;&gt; Fight scenes 1-3
&lt;&gt; Suicide Letter</t>
  </si>
  <si>
    <t>&lt;&gt; Instruction on walls.</t>
  </si>
  <si>
    <t>There is no doors to the secret room, just walls with the inscriptions. And the scratch that stops mid-wall is a clue that the wall opens.</t>
  </si>
  <si>
    <t>id</t>
  </si>
  <si>
    <t>sentence</t>
  </si>
  <si>
    <t>infos</t>
  </si>
  <si>
    <t>place</t>
  </si>
  <si>
    <t>object</t>
  </si>
  <si>
    <t>hidden_words</t>
  </si>
  <si>
    <t>dialog</t>
  </si>
  <si>
    <t>fight_1</t>
  </si>
  <si>
    <t>argument</t>
  </si>
  <si>
    <t>ro_mural_explanation_to_lo</t>
  </si>
  <si>
    <t>plant</t>
  </si>
  <si>
    <t>pakala</t>
  </si>
  <si>
    <t>forbidding</t>
  </si>
  <si>
    <t>confession</t>
  </si>
  <si>
    <t>death</t>
  </si>
  <si>
    <t>awakening</t>
  </si>
  <si>
    <t>ro_eloge_of_eo_to_so</t>
  </si>
  <si>
    <t>ro_blames_lo</t>
  </si>
  <si>
    <t>playing</t>
  </si>
  <si>
    <t>"The Shaped One confronted the Rigid One for the murder of the Enlightened One. (Late)",
"The Rigid One commited suicide after the Shaped One left, and after some harsh but true words. (Mid-Late)"</t>
  </si>
  <si>
    <t>&lt;&gt; Identifying the flask as the same type as another one clearly labelled poison
&lt;&gt; Fighting scene 2/3 (linked to broken main door)
&lt;&gt; Suicide letter</t>
  </si>
  <si>
    <t>balcony</t>
  </si>
  <si>
    <t>poison_bottle</t>
  </si>
  <si>
    <t>craft_room</t>
  </si>
  <si>
    <t>clay_head</t>
  </si>
  <si>
    <t>craft_room_mural</t>
  </si>
  <si>
    <t>waiting_room</t>
  </si>
  <si>
    <t>dead_plants</t>
  </si>
  <si>
    <t>east_staircase</t>
  </si>
  <si>
    <t>frame_in_wall</t>
  </si>
  <si>
    <t>pond</t>
  </si>
  <si>
    <t>sign</t>
  </si>
  <si>
    <t>resting_place</t>
  </si>
  <si>
    <t>grave</t>
  </si>
  <si>
    <t>tree</t>
  </si>
  <si>
    <t>mirror_frame</t>
  </si>
  <si>
    <t>drawings_on_wall</t>
  </si>
  <si>
    <t>broken_pot</t>
  </si>
  <si>
    <t>dice</t>
  </si>
  <si>
    <t>"The Rigid One was pushing for the creation of the Shaped One, but the
Enlightened One considered them not to be ready. (Mid)"</t>
  </si>
  <si>
    <t>"The artificial person was supposed to become a ”perfect mind”. (Mid)",
"The cult wanted to use toki pona to shape the mind of the clay-person. (Mid)"</t>
  </si>
  <si>
    <t>"RO accessed the secret room to take the mirror and to put it back."</t>
  </si>
  <si>
    <t>"The Rigid One forbid the Shaped One to use the tool on the Enlightened
One’s grave. (Mid)"</t>
  </si>
  <si>
    <t>"Using the tool on the Enlightened One’s grave, the Shaped One heard a confession of the Rigid One, begging pardon to the Enlightened One for his actions (but the nature of the actions remain a mystery). (Mid-Late)"</t>
  </si>
  <si>
    <t>"The Enlightened One knew the meal was poisonned. (Late)"</t>
  </si>
  <si>
    <t>"The Enlightened One was using the tool as a key for the secret room. (Mid)"</t>
  </si>
  <si>
    <t>"The cult succeeded in creating the clay-person. (Early-Mid)",
"The Shaped One knew nothing at first. (Early-Mid)"</t>
  </si>
  <si>
    <t>"The Shaped One realized that the Loose One was manipulative after a
talk with the Rigid One. (Mid-Late)"</t>
  </si>
  <si>
    <t>"The Loose One and the Shaped One had fun together. (Early-Mid)"</t>
  </si>
  <si>
    <t>"The Loose One tended to neglect her duties. (Early)",
"The Rigid One tended to give orders to the others. (Early)",
"The barrier on the Balcony is broken (Mid)"</t>
  </si>
  <si>
    <t>"kasi ni li moli."</t>
  </si>
  <si>
    <t>ro_last_moments</t>
  </si>
  <si>
    <t>ro_skeleton</t>
  </si>
  <si>
    <t>"jan ni li moli. sijelo kiwen ona li awen anpa."</t>
  </si>
  <si>
    <t>moli</t>
  </si>
  <si>
    <t>poki, pakala</t>
  </si>
  <si>
    <t>"poki ni li pakala."</t>
  </si>
  <si>
    <t>clues</t>
  </si>
  <si>
    <t>"sitelen suli ni li pana lukin e jan pali pi ko kiwen"</t>
  </si>
  <si>
    <t>sitelen, lukin, ko</t>
  </si>
  <si>
    <t>&lt;&gt; "kasi xxx", "kasi yyy", etc physical labels on the plants. Only in sitelen pona
&lt;&gt; skeleton sentence contains "moli"
&lt;&gt; dead fish in pond that can be revived (yellow object)</t>
  </si>
  <si>
    <t>Scenes I would like to add</t>
  </si>
  <si>
    <t>Choosing a name</t>
  </si>
  <si>
    <t>SO and LO call RO by an insulting name</t>
  </si>
  <si>
    <t>Ro changes their name</t>
  </si>
  <si>
    <t>RO: "ko jaki!", RO: "pakala a!"</t>
  </si>
  <si>
    <t>"lipu ni li pakala."</t>
  </si>
  <si>
    <t>lipu, pakala</t>
  </si>
  <si>
    <t xml:space="preserve">*sounds of hammering nails*, SO: "jan RO! sina pali e seme?", RO: "a! jan SO! sina lon la, ni li pona tawa mi.",  SO: "sina pini e lupa tawa tomo moli pi mama sewi anu seme?", RO: "mi pini e ni. tenpo kama la, sina ken ala tawa tomo moli.", SO: "tan seme?", RO: "tan mi toki e ni.", *small silence*, SO: "tan seme?", RO: "tan tomo moli ni li sewi. mama sewi li moli. jan moli li wile e lape." SO: "taso-" *So gets cut off* RO: "taso ala a! mi toki e ijo la, ijo ni li lon! o weka!" </t>
  </si>
  <si>
    <t>RO: "sitelen suli ni li pana lukin e ko wawa", LO: "ko ni li wawa tan seme?", "RO: ko ni li sewi. ni li ken kama ale.", LO: "ale?!", RO: "poka.", LO: "ni li ken kama jan?", RO: "mi pilin e ni, taso tenpo pini la, ni li kama ala.",</t>
  </si>
  <si>
    <t>RO: "mi lon… tenpo pini suli la, mi lon ala. taso, tenpo ni la, mi lon… mi pilin ike... lawa ona mute li utala. sina sona e ni. tenpo sina moli ala la, sina toki e ni... tenpo pini la, mi pakala e sina. taso, tenpo ni la, mi wile e ni ala... mi pakala. mi pakala suli."</t>
  </si>
  <si>
    <t>SO: "jan XXX!", RO: "jan XXX. toki.", SO: "o toki e lon!", RO: "sina toki e seme?", *sound of searching through something, then sound of liquid in bottle*, "ni! sina sona e poki ni anu seme?!", *silence*, RO: "sina tawa insa e tomo mi? sina ken ala e ni. sina sona e ni.", SO: "tenpo ni la, ni li suli ala.", *RO cutting SO off*, RO: "ni li suli a! mi lawa. mi toki e ijo la, sina kute e ni!", SO: "pakala a! o pakala e sina! sina moli e jan XXX! sina moli e mama sewi!", RO: "o kalama ala! toki sina li ike. ni li lon ala. sina sona e ala! o pana mi e pakala poki ni!", SO: "ala a! o sina tawa mi ala!", *struggling sounds*, RO: "o pana!", SO: "ala!" *more struggling sounds, sound of bottle hitting ground then rolling*,  SO: "pakala! poki li tawa anpa...", RO: "o kute-", *RO gets cut off*, "ala! tenpo pini la, mi kepeken ilo toki e tomo moli pi mama sewi. ni la, mi kute e sina toki tawa ona. mi kute sina toki e lon. sina moli e jan XXX!", *silence*, RO: "mi-" *gets cut off*, SO: "mi tawa." *sounds of steps leaving*, RO: "ala! o awen!"</t>
  </si>
  <si>
    <t>"lawa pi ko."</t>
  </si>
  <si>
    <t>lawa, ko</t>
  </si>
  <si>
    <t>EO: "jan XXX! sina pali e seme?", RO: "ni li lawa pi ko wawa.", EO: "mi lukin e ni. taso sina pali e ni tan seme?", RO: "tan tenpo kama la, jan pona tan ko li wile e lawa.", EO: "taso tenpo ni la, jan pi ko li lon ala.", RO: "taso tenpo kama lili, ni li lon.", EO: "jan XXX... sina sona e nasin sewi sina li pini ala.", RO: "sina toki e ni: ''tenpo ala la, nasin sewi li pini'', EO: "ni li lon. pona a! sina kama sona mute! ni li pona tawa mi.", *silence*, EO: "taso, tenpo pi jan pona tan ko li tenpo ni ala.", *grunt*, RO: "tan seme? mi kute e toki sewi tan sina. sona mi li suli a!", *tssk tssk sound*, EO: "ala. sona sina li lili.", RO: "taso-", *cut off*, EO: "sona jan XX li lili, sona sina li lili. sona mi li lili. ale la, sona mi mute li lili.", RO: "ala a! jan XXX li sona lili. sina li sona mute. mi li sona.", EO: "sina toki ike. toki ni li pona ala.", *silence*, EO: "o kama. tenpo moku li lon."</t>
  </si>
  <si>
    <t>moli, toki, e, ike, XXX</t>
  </si>
  <si>
    <t>""</t>
  </si>
  <si>
    <t>"sounds of moving stuff*, LO: "jan pi ko li lon ni anu seme?", *RO grunting because of the physical effort* RO: "ni li lon ni.", *sounds of putting it i the chair., "LO: tenpo ni la, mi mute li pali e seme?", RO: "tenpo ni la, mi mute li awen.", *ambient sounds for a few seconds*, LO: "ni li pali ala.", RO: "ni li kama pali. o awen!", *more waiting* LO: "ni li-" *LO gets cut off, sound of magic, then sounds of SO groaning*  RO: "ni li lon! jan sewi wan li lon!", LO: "pona a!", *more groaning*, LO: "ni li toke e seme?", RO: "ni li toki ala. tenpo ni la, ni li sona ala e toki." *some more groaning*, RO: "mi mute li-", *gets cut off by groan*, RO (angrily): "o kalama ala! mi mute li pana sona e toki pona.", *silence*, LO: "mi ken ala ken e ni: nimi e ona?", RO: "sina ken ala e ni. tenpo pini la, mi nimi e ona.", LO (disappointed): "nimi ona li seme?", RO: *says SO's name.</t>
  </si>
  <si>
    <t>*sounds of putting EO against tree, LO crying*, RO: "lon.", *EO coughs", EO: "pali sina mute li pona tawa mi.", LO (crying): "ni li ala a! pali mi li moli e sina. pakala e mi!" *EO coughs some more*, EO (gently): "o kamala ala! sina pona. tenpo moli mi la, mi moli. pali sina li moli ala e mi.", LO: "taso, tenpo pini la, mi pali e moku. tenpo pini la, sina moku e ni. tenpo ni la, sina moli tan moku ni.", EO: "mi moli, tan moli mi li lon. moku sina li suli ala.", LO: "taso-", *cut off by EO*, EO: "moli mi li lon, LO. moli mi li lon la, ni li sewi. sina sona e ni: ale li sewi.", LO: "taso mi pilin ike. mi pilin ike suli a!", EO: "pilin sina li lon. pilin sina li sewi. pilin sina li pona. ale li pona. sina sona e ni anu seme?", LO (sniffing): "mi li sona e ni.", EO: "pona a!" *coughing*, "jan LO. o tawa! tenpo ni la, mi wile toki tawa jan SO.", LO: "mi tawa." *sounds of steps, then silence*, EO: "sina wile toki tawa mi e ijo?", RO: "sina toki e seme?", EO: "mi sona e lon", RO: "lon seme?", *sigh*, EO: "mi sona e lon ni: sina pana insa moku e telo moli.", *silence*, RO: "mi-", *gets cut off*, EO: "ni li ike. ni li pakala a! taso ni li lon. tenpo kama lili la, mi moli., RO: "taso-", EO: "o kamala ala! o sina kute e mi! tenpo kama la, sina toki tawa jan LO e lon. sina sona e ni?", RO: "taso-" *gets cut off*, EO(sharply): "sina. sona. e. ni?" *small silence*, RO: "mi sona e ni.", EO: "pona a!"</t>
  </si>
  <si>
    <t>ANNULER CRAFT ROOM, DÉPLACER SCÈNES VER AUTRES SALLES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</si>
</sst>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Courier New"/>
      <family val="1"/>
    </font>
    <font>
      <sz val="8"/>
      <name val="Calibri"/>
      <family val="2"/>
      <scheme val="minor"/>
    </font>
    <font>
      <b/>
      <sz val="18"/>
      <color rgb="FFFF0000"/>
      <name val="Calibri (Body)"/>
    </font>
  </fonts>
  <fills count="5">
    <fill>
      <patternFill patternType="none"/>
    </fill>
    <fill>
      <patternFill patternType="gray125"/>
    </fill>
    <fill>
      <patternFill patternType="solid">
        <fgColor theme="5" tint="0.39997558519241921"/>
        <bgColor indexed="64"/>
      </patternFill>
    </fill>
    <fill>
      <patternFill patternType="solid">
        <fgColor theme="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1" fillId="2" borderId="0" xfId="0" applyFont="1" applyFill="1" applyAlignment="1">
      <alignment horizontal="left"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1" fillId="3" borderId="0" xfId="0" applyFont="1" applyFill="1" applyAlignment="1">
      <alignment horizontal="left" vertical="center" wrapText="1"/>
    </xf>
    <xf numFmtId="0" fontId="3" fillId="4" borderId="0" xfId="0" applyFont="1" applyFill="1" applyAlignment="1">
      <alignment horizontal="center" vertical="center"/>
    </xf>
  </cellXfs>
  <cellStyles count="1">
    <cellStyle name="Normal" xfId="0" builtinId="0"/>
  </cellStyles>
  <dxfs count="29">
    <dxf>
      <alignment vertical="center" textRotation="0" wrapText="0" indent="0" justifyLastLine="0" shrinkToFit="0" readingOrder="0"/>
    </dxf>
    <dxf>
      <alignment vertical="center" textRotation="0" wrapText="0" indent="0" justifyLastLine="0" shrinkToFit="0" readingOrder="0"/>
    </dxf>
    <dxf>
      <alignment horizontal="general"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left" vertical="center" textRotation="0" wrapText="1" indent="0" justifyLastLine="0" shrinkToFit="0" readingOrder="0"/>
    </dxf>
    <dxf>
      <font>
        <b val="0"/>
        <i val="0"/>
        <strike val="0"/>
        <condense val="0"/>
        <extend val="0"/>
        <outline val="0"/>
        <shadow val="0"/>
        <u val="none"/>
        <vertAlign val="baseline"/>
        <sz val="12"/>
        <color theme="1"/>
        <name val="Courier New"/>
        <family val="1"/>
        <scheme val="none"/>
      </font>
      <alignment horizontal="center" vertical="center" textRotation="0" wrapText="1" indent="0" justifyLastLine="0" shrinkToFit="0" readingOrder="0"/>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33011E-814B-4044-8CEE-912E2F961A31}" name="Table1" displayName="Table1" ref="A1:J78" totalsRowShown="0" headerRowDxfId="22" dataDxfId="21">
  <autoFilter ref="A1:J78" xr:uid="{A333011E-814B-4044-8CEE-912E2F961A31}"/>
  <sortState xmlns:xlrd2="http://schemas.microsoft.com/office/spreadsheetml/2017/richdata2" ref="A2:J78">
    <sortCondition ref="B1:B78"/>
  </sortState>
  <tableColumns count="10">
    <tableColumn id="1" xr3:uid="{A3972590-6843-E64D-BC8B-BE7F61021465}" name="Name" dataDxfId="20"/>
    <tableColumn id="2" xr3:uid="{C3FDF78C-9C8A-384C-A991-91CE1FE2E698}" name="Mystery" dataDxfId="19"/>
    <tableColumn id="3" xr3:uid="{B29A1B80-6D4C-4B4E-8DDE-8665F64956DF}" name="Info" dataDxfId="18"/>
    <tableColumn id="4" xr3:uid="{8A8BB49C-F3B9-124C-AAA9-B71B4638E352}" name="Room" dataDxfId="17"/>
    <tableColumn id="5" xr3:uid="{FB141D1B-4AA2-5546-ABCB-9120591D12F1}" name="Medium" dataDxfId="16"/>
    <tableColumn id="6" xr3:uid="{D8B5D0BC-C917-6243-9E21-EFCAC6482479}" name="Timing / 5" dataDxfId="15"/>
    <tableColumn id="7" xr3:uid="{0B157806-E1A4-6043-AA30-D1E15F12C568}" name="Findable" dataDxfId="14"/>
    <tableColumn id="10" xr3:uid="{51D56085-B0C3-E841-B846-C22EDBD243D9}" name="Understandable" dataDxfId="13"/>
    <tableColumn id="11" xr3:uid="{29BFBE76-ABF1-5E49-B5EE-417D1C8C1B44}" name="Difficulty" dataDxfId="12">
      <calculatedColumnFormula xml:space="preserve"> SQRT((Table1[[#This Row],[Understandable]]^2) + (Table1[[#This Row],[Findable]]^2))</calculatedColumnFormula>
    </tableColumn>
    <tableColumn id="8" xr3:uid="{44F0299F-D12F-334D-95A5-FD753E4B8195}" name="Ideas and notes" dataDxfId="1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B0A543-28F6-294F-8B07-E17D8AA06C2B}" name="Table3" displayName="Table3" ref="A1:I14" totalsRowShown="0" headerRowDxfId="10" dataDxfId="9">
  <autoFilter ref="A1:I14" xr:uid="{A8B0A543-28F6-294F-8B07-E17D8AA06C2B}"/>
  <sortState xmlns:xlrd2="http://schemas.microsoft.com/office/spreadsheetml/2017/richdata2" ref="A2:H14">
    <sortCondition ref="C1:C14"/>
  </sortState>
  <tableColumns count="9">
    <tableColumn id="1" xr3:uid="{1355E863-F6E3-D349-91CC-66026BF92E65}" name="id" dataDxfId="8"/>
    <tableColumn id="2" xr3:uid="{11B5C82D-9182-164A-AC1A-C7860136E82F}" name="infos" dataDxfId="7"/>
    <tableColumn id="3" xr3:uid="{A4DAD171-1D30-194C-B63A-3BC9D929AA6C}" name="place" dataDxfId="6"/>
    <tableColumn id="4" xr3:uid="{FD04A320-3781-4743-BBB2-47BBED4853F8}" name="object" dataDxfId="5"/>
    <tableColumn id="5" xr3:uid="{6A83D1B3-B3D1-824B-A40A-3434A2205F56}" name="sentence" dataDxfId="4"/>
    <tableColumn id="6" xr3:uid="{A3C2C38B-7967-F649-A4A6-C189FCD5B493}" name="hidden_words" dataDxfId="3"/>
    <tableColumn id="9" xr3:uid="{5217A8AB-14D0-7B41-B779-58D056DC5244}" name="clues" dataDxfId="2"/>
    <tableColumn id="7" xr3:uid="{929F8BC9-DAB2-A945-B46C-9F9644C93C91}" name="dialog" dataDxfId="1"/>
    <tableColumn id="8" xr3:uid="{4504C8B3-C3D5-0642-82F0-A45484DBCC8E}" name="ANNULER CRAFT ROOM, DÉPLACER SCÈNES VER AUTRES SALL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12883-83E3-F048-A22A-B025C2FD18CF}">
  <dimension ref="A1:J78"/>
  <sheetViews>
    <sheetView zoomScale="87" zoomScaleNormal="100" workbookViewId="0">
      <selection activeCell="C56" sqref="C56"/>
    </sheetView>
  </sheetViews>
  <sheetFormatPr baseColWidth="10" defaultRowHeight="17" x14ac:dyDescent="0.2"/>
  <cols>
    <col min="1" max="1" width="31" style="2" customWidth="1"/>
    <col min="2" max="2" width="28.5" style="2" customWidth="1"/>
    <col min="3" max="3" width="95.5" style="2" customWidth="1"/>
    <col min="4" max="4" width="35.5" style="2" customWidth="1"/>
    <col min="5" max="5" width="99.33203125" style="2" customWidth="1"/>
    <col min="6" max="6" width="7.6640625" style="2" customWidth="1"/>
    <col min="7" max="7" width="9.6640625" style="2" customWidth="1"/>
    <col min="8" max="8" width="6.33203125" style="2" customWidth="1"/>
    <col min="9" max="9" width="8" style="2" customWidth="1"/>
    <col min="10" max="10" width="85.33203125" style="2" customWidth="1"/>
    <col min="11" max="16384" width="10.83203125" style="2"/>
  </cols>
  <sheetData>
    <row r="1" spans="1:10" s="1" customFormat="1" ht="72" x14ac:dyDescent="0.2">
      <c r="A1" s="1" t="s">
        <v>0</v>
      </c>
      <c r="B1" s="1" t="s">
        <v>3</v>
      </c>
      <c r="C1" s="1" t="s">
        <v>1</v>
      </c>
      <c r="D1" s="1" t="s">
        <v>12</v>
      </c>
      <c r="E1" s="1" t="s">
        <v>7</v>
      </c>
      <c r="F1" s="1" t="s">
        <v>2</v>
      </c>
      <c r="G1" s="1" t="s">
        <v>192</v>
      </c>
      <c r="H1" s="1" t="s">
        <v>193</v>
      </c>
      <c r="I1" s="1" t="s">
        <v>194</v>
      </c>
      <c r="J1" s="1" t="s">
        <v>134</v>
      </c>
    </row>
    <row r="2" spans="1:10" ht="54" x14ac:dyDescent="0.2">
      <c r="A2" s="2" t="s">
        <v>116</v>
      </c>
      <c r="B2" s="2" t="s">
        <v>26</v>
      </c>
      <c r="C2" s="2" t="s">
        <v>220</v>
      </c>
      <c r="D2" s="2" t="s">
        <v>221</v>
      </c>
      <c r="E2" s="2" t="s">
        <v>232</v>
      </c>
      <c r="F2" s="2">
        <v>5</v>
      </c>
      <c r="I2" s="2">
        <f xml:space="preserve"> SQRT((Table1[[#This Row],[Understandable]]^2) + (Table1[[#This Row],[Findable]]^2))</f>
        <v>0</v>
      </c>
      <c r="J2" s="2" t="s">
        <v>233</v>
      </c>
    </row>
    <row r="3" spans="1:10" ht="36" x14ac:dyDescent="0.2">
      <c r="A3" s="2" t="s">
        <v>98</v>
      </c>
      <c r="B3" s="2" t="s">
        <v>26</v>
      </c>
      <c r="C3" s="2" t="s">
        <v>40</v>
      </c>
      <c r="D3" s="2" t="s">
        <v>154</v>
      </c>
      <c r="E3" s="2" t="s">
        <v>249</v>
      </c>
      <c r="F3" s="2">
        <v>3</v>
      </c>
      <c r="I3" s="2">
        <f xml:space="preserve"> SQRT((Table1[[#This Row],[Understandable]]^2) + (Table1[[#This Row],[Findable]]^2))</f>
        <v>0</v>
      </c>
      <c r="J3" s="2" t="s">
        <v>250</v>
      </c>
    </row>
    <row r="4" spans="1:10" ht="18" x14ac:dyDescent="0.2">
      <c r="A4" s="2" t="s">
        <v>111</v>
      </c>
      <c r="B4" s="2" t="s">
        <v>26</v>
      </c>
      <c r="C4" s="2" t="s">
        <v>52</v>
      </c>
      <c r="D4" s="2" t="s">
        <v>213</v>
      </c>
      <c r="F4" s="2">
        <v>3</v>
      </c>
      <c r="I4" s="2">
        <f xml:space="preserve"> SQRT((Table1[[#This Row],[Understandable]]^2) + (Table1[[#This Row],[Findable]]^2))</f>
        <v>0</v>
      </c>
    </row>
    <row r="5" spans="1:10" ht="18" x14ac:dyDescent="0.2">
      <c r="A5" s="2" t="s">
        <v>162</v>
      </c>
      <c r="B5" s="2" t="s">
        <v>26</v>
      </c>
      <c r="C5" s="2" t="s">
        <v>163</v>
      </c>
      <c r="D5" s="2" t="s">
        <v>213</v>
      </c>
      <c r="I5" s="2">
        <f xml:space="preserve"> SQRT((Table1[[#This Row],[Understandable]]^2) + (Table1[[#This Row],[Findable]]^2))</f>
        <v>0</v>
      </c>
    </row>
    <row r="6" spans="1:10" ht="36" x14ac:dyDescent="0.2">
      <c r="A6" s="2" t="s">
        <v>86</v>
      </c>
      <c r="B6" s="2" t="s">
        <v>26</v>
      </c>
      <c r="C6" s="2" t="s">
        <v>30</v>
      </c>
      <c r="D6" s="2" t="s">
        <v>213</v>
      </c>
      <c r="F6" s="2">
        <v>3</v>
      </c>
      <c r="I6" s="2">
        <f xml:space="preserve"> SQRT((Table1[[#This Row],[Understandable]]^2) + (Table1[[#This Row],[Findable]]^2))</f>
        <v>0</v>
      </c>
    </row>
    <row r="7" spans="1:10" ht="36" x14ac:dyDescent="0.2">
      <c r="A7" s="2" t="s">
        <v>90</v>
      </c>
      <c r="B7" s="2" t="s">
        <v>26</v>
      </c>
      <c r="C7" s="2" t="s">
        <v>34</v>
      </c>
      <c r="D7" s="2" t="s">
        <v>142</v>
      </c>
      <c r="E7" s="2" t="s">
        <v>177</v>
      </c>
      <c r="F7" s="2">
        <v>2</v>
      </c>
      <c r="G7" s="2">
        <v>2</v>
      </c>
      <c r="H7" s="2">
        <v>3</v>
      </c>
      <c r="I7" s="2">
        <f xml:space="preserve"> SQRT((Table1[[#This Row],[Understandable]]^2) + (Table1[[#This Row],[Findable]]^2))</f>
        <v>3.6055512754639891</v>
      </c>
    </row>
    <row r="8" spans="1:10" ht="18" x14ac:dyDescent="0.2">
      <c r="A8" s="2" t="s">
        <v>107</v>
      </c>
      <c r="B8" s="2" t="s">
        <v>26</v>
      </c>
      <c r="C8" s="2" t="s">
        <v>47</v>
      </c>
      <c r="D8" s="2" t="s">
        <v>142</v>
      </c>
      <c r="F8" s="2">
        <v>3</v>
      </c>
      <c r="I8" s="2">
        <f xml:space="preserve"> SQRT((Table1[[#This Row],[Understandable]]^2) + (Table1[[#This Row],[Findable]]^2))</f>
        <v>0</v>
      </c>
    </row>
    <row r="9" spans="1:10" ht="36" x14ac:dyDescent="0.2">
      <c r="A9" s="2" t="s">
        <v>91</v>
      </c>
      <c r="B9" s="2" t="s">
        <v>26</v>
      </c>
      <c r="C9" s="2" t="s">
        <v>35</v>
      </c>
      <c r="D9" s="2" t="s">
        <v>152</v>
      </c>
      <c r="E9" s="2" t="s">
        <v>146</v>
      </c>
      <c r="F9" s="2">
        <v>1</v>
      </c>
      <c r="G9" s="2">
        <v>2</v>
      </c>
      <c r="H9" s="2">
        <v>3</v>
      </c>
      <c r="I9" s="2">
        <f xml:space="preserve"> SQRT((Table1[[#This Row],[Understandable]]^2) + (Table1[[#This Row],[Findable]]^2))</f>
        <v>3.6055512754639891</v>
      </c>
    </row>
    <row r="10" spans="1:10" ht="36" x14ac:dyDescent="0.2">
      <c r="A10" s="2" t="s">
        <v>97</v>
      </c>
      <c r="B10" s="2" t="s">
        <v>26</v>
      </c>
      <c r="C10" s="2" t="s">
        <v>39</v>
      </c>
      <c r="D10" s="2" t="s">
        <v>243</v>
      </c>
      <c r="E10" s="2" t="s">
        <v>146</v>
      </c>
      <c r="F10" s="2">
        <v>1</v>
      </c>
      <c r="G10" s="2">
        <v>2</v>
      </c>
      <c r="H10" s="2">
        <v>3</v>
      </c>
      <c r="I10" s="2">
        <f xml:space="preserve"> SQRT((Table1[[#This Row],[Understandable]]^2) + (Table1[[#This Row],[Findable]]^2))</f>
        <v>3.6055512754639891</v>
      </c>
    </row>
    <row r="11" spans="1:10" ht="36" x14ac:dyDescent="0.2">
      <c r="A11" s="2" t="s">
        <v>99</v>
      </c>
      <c r="B11" s="2" t="s">
        <v>26</v>
      </c>
      <c r="C11" s="2" t="s">
        <v>41</v>
      </c>
      <c r="D11" s="2" t="s">
        <v>143</v>
      </c>
      <c r="F11" s="2">
        <v>3</v>
      </c>
      <c r="I11" s="2">
        <f xml:space="preserve"> SQRT((Table1[[#This Row],[Understandable]]^2) + (Table1[[#This Row],[Findable]]^2))</f>
        <v>0</v>
      </c>
    </row>
    <row r="12" spans="1:10" ht="36" x14ac:dyDescent="0.2">
      <c r="A12" s="2" t="s">
        <v>140</v>
      </c>
      <c r="B12" s="2" t="s">
        <v>26</v>
      </c>
      <c r="C12" s="2" t="s">
        <v>141</v>
      </c>
      <c r="D12" s="2" t="s">
        <v>223</v>
      </c>
      <c r="I12" s="2">
        <f xml:space="preserve"> SQRT((Table1[[#This Row],[Understandable]]^2) + (Table1[[#This Row],[Findable]]^2))</f>
        <v>0</v>
      </c>
    </row>
    <row r="13" spans="1:10" ht="18" x14ac:dyDescent="0.2">
      <c r="A13" s="2" t="s">
        <v>205</v>
      </c>
      <c r="B13" s="2" t="s">
        <v>26</v>
      </c>
      <c r="C13" s="2" t="s">
        <v>206</v>
      </c>
      <c r="D13" s="2" t="s">
        <v>224</v>
      </c>
      <c r="E13" s="2" t="s">
        <v>236</v>
      </c>
      <c r="I13" s="2">
        <f xml:space="preserve"> SQRT((Table1[[#This Row],[Understandable]]^2) + (Table1[[#This Row],[Findable]]^2))</f>
        <v>0</v>
      </c>
      <c r="J13" s="2" t="s">
        <v>235</v>
      </c>
    </row>
    <row r="14" spans="1:10" ht="36" x14ac:dyDescent="0.2">
      <c r="A14" s="2" t="s">
        <v>126</v>
      </c>
      <c r="B14" s="2" t="s">
        <v>26</v>
      </c>
      <c r="C14" s="2" t="s">
        <v>124</v>
      </c>
      <c r="D14" s="2" t="s">
        <v>219</v>
      </c>
      <c r="F14" s="2">
        <v>3</v>
      </c>
      <c r="I14" s="2">
        <f xml:space="preserve"> SQRT((Table1[[#This Row],[Understandable]]^2) + (Table1[[#This Row],[Findable]]^2))</f>
        <v>0</v>
      </c>
    </row>
    <row r="15" spans="1:10" ht="36" x14ac:dyDescent="0.2">
      <c r="A15" s="2" t="s">
        <v>85</v>
      </c>
      <c r="B15" s="2" t="s">
        <v>26</v>
      </c>
      <c r="C15" s="2" t="s">
        <v>29</v>
      </c>
      <c r="D15" s="2" t="s">
        <v>212</v>
      </c>
      <c r="F15" s="2">
        <v>3</v>
      </c>
      <c r="I15" s="2">
        <f xml:space="preserve"> SQRT((Table1[[#This Row],[Understandable]]^2) + (Table1[[#This Row],[Findable]]^2))</f>
        <v>0</v>
      </c>
    </row>
    <row r="16" spans="1:10" ht="18" x14ac:dyDescent="0.2">
      <c r="A16" s="2" t="s">
        <v>106</v>
      </c>
      <c r="B16" s="2" t="s">
        <v>26</v>
      </c>
      <c r="C16" s="2" t="s">
        <v>48</v>
      </c>
      <c r="D16" s="2" t="s">
        <v>144</v>
      </c>
      <c r="E16" s="2" t="s">
        <v>145</v>
      </c>
      <c r="F16" s="2">
        <v>1</v>
      </c>
      <c r="G16" s="2">
        <v>4</v>
      </c>
      <c r="H16" s="2">
        <v>4</v>
      </c>
      <c r="I16" s="2">
        <f xml:space="preserve"> SQRT((Table1[[#This Row],[Understandable]]^2) + (Table1[[#This Row],[Findable]]^2))</f>
        <v>5.6568542494923806</v>
      </c>
      <c r="J16" s="2" t="s">
        <v>149</v>
      </c>
    </row>
    <row r="17" spans="1:10" ht="36" x14ac:dyDescent="0.2">
      <c r="A17" s="2" t="s">
        <v>103</v>
      </c>
      <c r="B17" s="2" t="s">
        <v>26</v>
      </c>
      <c r="C17" s="2" t="s">
        <v>44</v>
      </c>
      <c r="D17" s="2" t="s">
        <v>144</v>
      </c>
      <c r="F17" s="2">
        <v>3</v>
      </c>
      <c r="I17" s="2">
        <f xml:space="preserve"> SQRT((Table1[[#This Row],[Understandable]]^2) + (Table1[[#This Row],[Findable]]^2))</f>
        <v>0</v>
      </c>
    </row>
    <row r="18" spans="1:10" ht="36" x14ac:dyDescent="0.2">
      <c r="A18" s="2" t="s">
        <v>127</v>
      </c>
      <c r="B18" s="2" t="s">
        <v>26</v>
      </c>
      <c r="C18" s="2" t="s">
        <v>128</v>
      </c>
      <c r="D18" s="2" t="s">
        <v>222</v>
      </c>
      <c r="I18" s="2">
        <f xml:space="preserve"> SQRT((Table1[[#This Row],[Understandable]]^2) + (Table1[[#This Row],[Findable]]^2))</f>
        <v>0</v>
      </c>
    </row>
    <row r="19" spans="1:10" ht="36" x14ac:dyDescent="0.2">
      <c r="A19" s="2" t="s">
        <v>92</v>
      </c>
      <c r="B19" s="2" t="s">
        <v>26</v>
      </c>
      <c r="C19" s="2" t="s">
        <v>36</v>
      </c>
      <c r="D19" s="2" t="s">
        <v>178</v>
      </c>
      <c r="E19" s="2" t="s">
        <v>179</v>
      </c>
      <c r="F19" s="2">
        <v>2</v>
      </c>
      <c r="G19" s="2">
        <v>5</v>
      </c>
      <c r="H19" s="2">
        <v>2</v>
      </c>
      <c r="I19" s="2">
        <f xml:space="preserve"> SQRT((Table1[[#This Row],[Understandable]]^2) + (Table1[[#This Row],[Findable]]^2))</f>
        <v>5.3851648071345037</v>
      </c>
      <c r="J19" s="2" t="s">
        <v>183</v>
      </c>
    </row>
    <row r="20" spans="1:10" ht="18" x14ac:dyDescent="0.2">
      <c r="A20" s="2" t="s">
        <v>108</v>
      </c>
      <c r="B20" s="2" t="s">
        <v>26</v>
      </c>
      <c r="C20" s="2" t="s">
        <v>49</v>
      </c>
      <c r="D20" s="2" t="s">
        <v>164</v>
      </c>
      <c r="F20" s="2">
        <v>3</v>
      </c>
      <c r="I20" s="2">
        <f xml:space="preserve"> SQRT((Table1[[#This Row],[Understandable]]^2) + (Table1[[#This Row],[Findable]]^2))</f>
        <v>0</v>
      </c>
    </row>
    <row r="21" spans="1:10" ht="18" x14ac:dyDescent="0.2">
      <c r="A21" s="2" t="s">
        <v>109</v>
      </c>
      <c r="B21" s="2" t="s">
        <v>26</v>
      </c>
      <c r="C21" s="2" t="s">
        <v>50</v>
      </c>
      <c r="D21" s="2" t="s">
        <v>164</v>
      </c>
      <c r="F21" s="2">
        <v>3</v>
      </c>
      <c r="I21" s="2">
        <f xml:space="preserve"> SQRT((Table1[[#This Row],[Understandable]]^2) + (Table1[[#This Row],[Findable]]^2))</f>
        <v>0</v>
      </c>
    </row>
    <row r="22" spans="1:10" ht="36" x14ac:dyDescent="0.2">
      <c r="A22" s="2" t="s">
        <v>110</v>
      </c>
      <c r="B22" s="2" t="s">
        <v>26</v>
      </c>
      <c r="C22" s="2" t="s">
        <v>51</v>
      </c>
      <c r="D22" s="2" t="s">
        <v>164</v>
      </c>
      <c r="F22" s="2">
        <v>3</v>
      </c>
      <c r="I22" s="2">
        <f xml:space="preserve"> SQRT((Table1[[#This Row],[Understandable]]^2) + (Table1[[#This Row],[Findable]]^2))</f>
        <v>0</v>
      </c>
    </row>
    <row r="23" spans="1:10" ht="36" x14ac:dyDescent="0.2">
      <c r="A23" s="2" t="s">
        <v>100</v>
      </c>
      <c r="B23" s="2" t="s">
        <v>26</v>
      </c>
      <c r="C23" s="2" t="s">
        <v>186</v>
      </c>
      <c r="D23" s="2" t="s">
        <v>157</v>
      </c>
      <c r="E23" s="2" t="s">
        <v>187</v>
      </c>
      <c r="F23" s="2">
        <v>2</v>
      </c>
      <c r="G23" s="2">
        <v>4</v>
      </c>
      <c r="H23" s="2">
        <v>1</v>
      </c>
      <c r="I23" s="2">
        <f xml:space="preserve"> SQRT((Table1[[#This Row],[Understandable]]^2) + (Table1[[#This Row],[Findable]]^2))</f>
        <v>4.1231056256176606</v>
      </c>
    </row>
    <row r="24" spans="1:10" ht="36" x14ac:dyDescent="0.2">
      <c r="A24" s="2" t="s">
        <v>96</v>
      </c>
      <c r="B24" s="2" t="s">
        <v>26</v>
      </c>
      <c r="C24" s="2" t="s">
        <v>95</v>
      </c>
      <c r="D24" s="2" t="s">
        <v>157</v>
      </c>
      <c r="F24" s="2">
        <v>3</v>
      </c>
      <c r="I24" s="2">
        <f xml:space="preserve"> SQRT((Table1[[#This Row],[Understandable]]^2) + (Table1[[#This Row],[Findable]]^2))</f>
        <v>0</v>
      </c>
    </row>
    <row r="25" spans="1:10" ht="18" x14ac:dyDescent="0.2">
      <c r="A25" s="2" t="s">
        <v>89</v>
      </c>
      <c r="B25" s="2" t="s">
        <v>26</v>
      </c>
      <c r="C25" s="2" t="s">
        <v>33</v>
      </c>
      <c r="D25" s="2" t="s">
        <v>157</v>
      </c>
      <c r="F25" s="2">
        <v>5</v>
      </c>
      <c r="I25" s="2">
        <f xml:space="preserve"> SQRT((Table1[[#This Row],[Understandable]]^2) + (Table1[[#This Row],[Findable]]^2))</f>
        <v>0</v>
      </c>
    </row>
    <row r="26" spans="1:10" s="4" customFormat="1" ht="18" x14ac:dyDescent="0.2">
      <c r="A26" s="2" t="s">
        <v>115</v>
      </c>
      <c r="B26" s="2" t="s">
        <v>26</v>
      </c>
      <c r="C26" s="2" t="s">
        <v>54</v>
      </c>
      <c r="D26" s="2" t="s">
        <v>157</v>
      </c>
      <c r="E26" s="2"/>
      <c r="F26" s="2">
        <v>5</v>
      </c>
      <c r="G26" s="2"/>
      <c r="H26" s="2"/>
      <c r="I26" s="2">
        <f xml:space="preserve"> SQRT((Table1[[#This Row],[Understandable]]^2) + (Table1[[#This Row],[Findable]]^2))</f>
        <v>0</v>
      </c>
      <c r="J26" s="2"/>
    </row>
    <row r="27" spans="1:10" ht="54" x14ac:dyDescent="0.2">
      <c r="A27" s="2" t="s">
        <v>112</v>
      </c>
      <c r="B27" s="2" t="s">
        <v>26</v>
      </c>
      <c r="C27" s="2" t="s">
        <v>53</v>
      </c>
      <c r="D27" s="2" t="s">
        <v>171</v>
      </c>
      <c r="E27" s="2" t="s">
        <v>239</v>
      </c>
      <c r="F27" s="2">
        <v>3</v>
      </c>
      <c r="I27" s="2">
        <f xml:space="preserve"> SQRT((Table1[[#This Row],[Understandable]]^2) + (Table1[[#This Row],[Findable]]^2))</f>
        <v>0</v>
      </c>
      <c r="J27" s="2" t="s">
        <v>240</v>
      </c>
    </row>
    <row r="28" spans="1:10" ht="54" x14ac:dyDescent="0.2">
      <c r="A28" s="2" t="s">
        <v>113</v>
      </c>
      <c r="B28" s="2" t="s">
        <v>26</v>
      </c>
      <c r="C28" s="2" t="s">
        <v>218</v>
      </c>
      <c r="D28" s="2" t="s">
        <v>242</v>
      </c>
      <c r="E28" s="2" t="s">
        <v>241</v>
      </c>
      <c r="F28" s="2">
        <v>4</v>
      </c>
      <c r="I28" s="2">
        <f xml:space="preserve"> SQRT((Table1[[#This Row],[Understandable]]^2) + (Table1[[#This Row],[Findable]]^2))</f>
        <v>0</v>
      </c>
    </row>
    <row r="29" spans="1:10" ht="126" x14ac:dyDescent="0.2">
      <c r="A29" s="2" t="s">
        <v>88</v>
      </c>
      <c r="B29" s="2" t="s">
        <v>26</v>
      </c>
      <c r="C29" s="2" t="s">
        <v>32</v>
      </c>
      <c r="D29" s="2" t="s">
        <v>171</v>
      </c>
      <c r="E29" s="2" t="s">
        <v>246</v>
      </c>
      <c r="F29" s="2">
        <v>5</v>
      </c>
      <c r="I29" s="2">
        <f xml:space="preserve"> SQRT((Table1[[#This Row],[Understandable]]^2) + (Table1[[#This Row],[Findable]]^2))</f>
        <v>0</v>
      </c>
      <c r="J29" s="2" t="s">
        <v>245</v>
      </c>
    </row>
    <row r="30" spans="1:10" ht="54" x14ac:dyDescent="0.2">
      <c r="A30" s="2" t="s">
        <v>82</v>
      </c>
      <c r="B30" s="2" t="s">
        <v>26</v>
      </c>
      <c r="C30" s="2" t="s">
        <v>27</v>
      </c>
      <c r="D30" s="2" t="s">
        <v>139</v>
      </c>
      <c r="E30" s="2" t="s">
        <v>138</v>
      </c>
      <c r="F30" s="2">
        <v>1</v>
      </c>
      <c r="G30" s="2">
        <v>1</v>
      </c>
      <c r="H30" s="2">
        <v>2</v>
      </c>
      <c r="I30" s="2">
        <f xml:space="preserve"> SQRT((Table1[[#This Row],[Understandable]]^2) + (Table1[[#This Row],[Findable]]^2))</f>
        <v>2.2360679774997898</v>
      </c>
    </row>
    <row r="31" spans="1:10" ht="36" x14ac:dyDescent="0.2">
      <c r="A31" s="2" t="s">
        <v>102</v>
      </c>
      <c r="B31" s="2" t="s">
        <v>26</v>
      </c>
      <c r="C31" s="2" t="s">
        <v>43</v>
      </c>
      <c r="D31" s="2" t="s">
        <v>188</v>
      </c>
      <c r="E31" s="2" t="s">
        <v>189</v>
      </c>
      <c r="F31" s="2">
        <v>2</v>
      </c>
      <c r="G31" s="2">
        <v>4</v>
      </c>
      <c r="H31" s="2">
        <v>2</v>
      </c>
      <c r="I31" s="2">
        <f xml:space="preserve"> SQRT((Table1[[#This Row],[Understandable]]^2) + (Table1[[#This Row],[Findable]]^2))</f>
        <v>4.4721359549995796</v>
      </c>
    </row>
    <row r="32" spans="1:10" ht="18" x14ac:dyDescent="0.2">
      <c r="A32" s="2" t="s">
        <v>184</v>
      </c>
      <c r="B32" s="2" t="s">
        <v>26</v>
      </c>
      <c r="C32" s="2" t="s">
        <v>185</v>
      </c>
      <c r="D32" s="2" t="s">
        <v>208</v>
      </c>
      <c r="E32" s="2" t="s">
        <v>209</v>
      </c>
      <c r="F32" s="2">
        <v>6</v>
      </c>
      <c r="I32" s="2">
        <f xml:space="preserve"> SQRT((Table1[[#This Row],[Understandable]]^2) + (Table1[[#This Row],[Findable]]^2))</f>
        <v>0</v>
      </c>
    </row>
    <row r="33" spans="1:10" ht="18" x14ac:dyDescent="0.2">
      <c r="A33" s="2" t="s">
        <v>87</v>
      </c>
      <c r="B33" s="2" t="s">
        <v>26</v>
      </c>
      <c r="C33" s="2" t="s">
        <v>31</v>
      </c>
      <c r="D33" s="2" t="s">
        <v>170</v>
      </c>
      <c r="F33" s="2">
        <v>4</v>
      </c>
      <c r="I33" s="2">
        <f xml:space="preserve"> SQRT((Table1[[#This Row],[Understandable]]^2) + (Table1[[#This Row],[Findable]]^2))</f>
        <v>0</v>
      </c>
    </row>
    <row r="34" spans="1:10" ht="36" x14ac:dyDescent="0.2">
      <c r="A34" s="2" t="s">
        <v>114</v>
      </c>
      <c r="B34" s="2" t="s">
        <v>26</v>
      </c>
      <c r="C34" s="2" t="s">
        <v>129</v>
      </c>
      <c r="D34" s="2" t="s">
        <v>170</v>
      </c>
      <c r="F34" s="2">
        <v>4</v>
      </c>
      <c r="I34" s="2">
        <f xml:space="preserve"> SQRT((Table1[[#This Row],[Understandable]]^2) + (Table1[[#This Row],[Findable]]^2))</f>
        <v>0</v>
      </c>
    </row>
    <row r="35" spans="1:10" ht="36" x14ac:dyDescent="0.2">
      <c r="A35" s="2" t="s">
        <v>84</v>
      </c>
      <c r="B35" s="2" t="s">
        <v>26</v>
      </c>
      <c r="C35" s="2" t="s">
        <v>28</v>
      </c>
      <c r="D35" s="2" t="s">
        <v>168</v>
      </c>
      <c r="E35" s="2" t="s">
        <v>169</v>
      </c>
      <c r="F35" s="2">
        <v>2</v>
      </c>
      <c r="G35" s="2">
        <v>3</v>
      </c>
      <c r="H35" s="2">
        <v>3</v>
      </c>
      <c r="I35" s="2">
        <f xml:space="preserve"> SQRT((Table1[[#This Row],[Understandable]]^2) + (Table1[[#This Row],[Findable]]^2))</f>
        <v>4.2426406871192848</v>
      </c>
    </row>
    <row r="36" spans="1:10" ht="36" x14ac:dyDescent="0.2">
      <c r="A36" s="2" t="s">
        <v>101</v>
      </c>
      <c r="B36" s="2" t="s">
        <v>26</v>
      </c>
      <c r="C36" s="2" t="s">
        <v>42</v>
      </c>
      <c r="D36" s="2" t="s">
        <v>251</v>
      </c>
      <c r="E36" s="2" t="s">
        <v>252</v>
      </c>
      <c r="F36" s="2">
        <v>4</v>
      </c>
      <c r="I36" s="2">
        <f xml:space="preserve"> SQRT((Table1[[#This Row],[Understandable]]^2) + (Table1[[#This Row],[Findable]]^2))</f>
        <v>0</v>
      </c>
      <c r="J36" s="2" t="s">
        <v>254</v>
      </c>
    </row>
    <row r="37" spans="1:10" ht="18" x14ac:dyDescent="0.2">
      <c r="A37" s="2" t="s">
        <v>105</v>
      </c>
      <c r="B37" s="2" t="s">
        <v>26</v>
      </c>
      <c r="C37" s="2" t="s">
        <v>46</v>
      </c>
      <c r="D37" s="2" t="s">
        <v>215</v>
      </c>
      <c r="F37" s="2">
        <v>3</v>
      </c>
      <c r="I37" s="2">
        <f xml:space="preserve"> SQRT((Table1[[#This Row],[Understandable]]^2) + (Table1[[#This Row],[Findable]]^2))</f>
        <v>0</v>
      </c>
    </row>
    <row r="38" spans="1:10" ht="18" x14ac:dyDescent="0.2">
      <c r="A38" s="2" t="s">
        <v>174</v>
      </c>
      <c r="B38" s="2" t="s">
        <v>26</v>
      </c>
      <c r="C38" s="2" t="s">
        <v>175</v>
      </c>
      <c r="D38" s="2" t="s">
        <v>215</v>
      </c>
      <c r="E38" s="2" t="s">
        <v>176</v>
      </c>
      <c r="I38" s="2">
        <f xml:space="preserve"> SQRT((Table1[[#This Row],[Understandable]]^2) + (Table1[[#This Row],[Findable]]^2))</f>
        <v>0</v>
      </c>
    </row>
    <row r="39" spans="1:10" ht="72" x14ac:dyDescent="0.2">
      <c r="A39" s="2" t="s">
        <v>94</v>
      </c>
      <c r="B39" s="2" t="s">
        <v>26</v>
      </c>
      <c r="C39" s="2" t="s">
        <v>38</v>
      </c>
      <c r="D39" s="2" t="s">
        <v>217</v>
      </c>
      <c r="F39" s="2">
        <v>4</v>
      </c>
      <c r="I39" s="2">
        <f xml:space="preserve"> SQRT((Table1[[#This Row],[Understandable]]^2) + (Table1[[#This Row],[Findable]]^2))</f>
        <v>0</v>
      </c>
    </row>
    <row r="40" spans="1:10" ht="54" x14ac:dyDescent="0.2">
      <c r="A40" s="2" t="s">
        <v>93</v>
      </c>
      <c r="B40" s="2" t="s">
        <v>26</v>
      </c>
      <c r="C40" s="2" t="s">
        <v>37</v>
      </c>
      <c r="D40" s="2" t="s">
        <v>182</v>
      </c>
      <c r="E40" s="2" t="s">
        <v>181</v>
      </c>
      <c r="F40" s="2">
        <v>2</v>
      </c>
      <c r="G40" s="2">
        <v>5</v>
      </c>
      <c r="H40" s="2">
        <v>2</v>
      </c>
      <c r="I40" s="2">
        <f xml:space="preserve"> SQRT((Table1[[#This Row],[Understandable]]^2) + (Table1[[#This Row],[Findable]]^2))</f>
        <v>5.3851648071345037</v>
      </c>
    </row>
    <row r="41" spans="1:10" ht="36" x14ac:dyDescent="0.2">
      <c r="A41" s="2" t="s">
        <v>104</v>
      </c>
      <c r="B41" s="2" t="s">
        <v>26</v>
      </c>
      <c r="C41" s="2" t="s">
        <v>45</v>
      </c>
      <c r="D41" s="2" t="s">
        <v>214</v>
      </c>
      <c r="F41" s="2">
        <v>3</v>
      </c>
      <c r="I41" s="2">
        <f xml:space="preserve"> SQRT((Table1[[#This Row],[Understandable]]^2) + (Table1[[#This Row],[Findable]]^2))</f>
        <v>0</v>
      </c>
    </row>
    <row r="42" spans="1:10" ht="18" x14ac:dyDescent="0.2">
      <c r="A42" s="2" t="s">
        <v>66</v>
      </c>
      <c r="B42" s="2" t="s">
        <v>5</v>
      </c>
      <c r="C42" s="3" t="s">
        <v>121</v>
      </c>
      <c r="D42" s="3" t="s">
        <v>226</v>
      </c>
      <c r="E42" s="2" t="s">
        <v>135</v>
      </c>
      <c r="F42" s="2">
        <v>1</v>
      </c>
      <c r="G42" s="2">
        <v>1</v>
      </c>
      <c r="H42" s="2">
        <v>1</v>
      </c>
      <c r="I42" s="2">
        <f xml:space="preserve"> SQRT((Table1[[#This Row],[Understandable]]^2) + (Table1[[#This Row],[Findable]]^2))</f>
        <v>1.4142135623730951</v>
      </c>
    </row>
    <row r="43" spans="1:10" ht="36" x14ac:dyDescent="0.2">
      <c r="A43" s="2" t="s">
        <v>198</v>
      </c>
      <c r="B43" s="2" t="s">
        <v>5</v>
      </c>
      <c r="C43" s="2" t="s">
        <v>199</v>
      </c>
      <c r="D43" s="2" t="s">
        <v>202</v>
      </c>
      <c r="E43" s="2" t="s">
        <v>231</v>
      </c>
      <c r="F43" s="2">
        <v>3</v>
      </c>
      <c r="G43" s="2">
        <v>1</v>
      </c>
      <c r="H43" s="2">
        <v>4</v>
      </c>
      <c r="I43" s="2">
        <f xml:space="preserve"> SQRT((Table1[[#This Row],[Understandable]]^2) + (Table1[[#This Row],[Findable]]^2))</f>
        <v>4.1231056256176606</v>
      </c>
    </row>
    <row r="44" spans="1:10" ht="18" x14ac:dyDescent="0.2">
      <c r="A44" s="2" t="s">
        <v>69</v>
      </c>
      <c r="B44" s="2" t="s">
        <v>5</v>
      </c>
      <c r="C44" s="2" t="s">
        <v>14</v>
      </c>
      <c r="D44" s="2" t="s">
        <v>154</v>
      </c>
      <c r="E44" s="2" t="s">
        <v>155</v>
      </c>
      <c r="F44" s="2">
        <v>1</v>
      </c>
      <c r="G44" s="2">
        <v>3</v>
      </c>
      <c r="H44" s="2">
        <v>1</v>
      </c>
      <c r="I44" s="2">
        <f xml:space="preserve"> SQRT((Table1[[#This Row],[Understandable]]^2) + (Table1[[#This Row],[Findable]]^2))</f>
        <v>3.1622776601683795</v>
      </c>
    </row>
    <row r="45" spans="1:10" ht="18" x14ac:dyDescent="0.2">
      <c r="A45" s="2" t="s">
        <v>74</v>
      </c>
      <c r="B45" s="2" t="s">
        <v>5</v>
      </c>
      <c r="C45" s="2" t="s">
        <v>18</v>
      </c>
      <c r="D45" s="2" t="s">
        <v>154</v>
      </c>
      <c r="E45" s="2" t="s">
        <v>204</v>
      </c>
      <c r="F45" s="2">
        <v>3</v>
      </c>
      <c r="G45" s="2">
        <v>4</v>
      </c>
      <c r="H45" s="2">
        <v>2</v>
      </c>
      <c r="I45" s="2">
        <f xml:space="preserve"> SQRT((Table1[[#This Row],[Understandable]]^2) + (Table1[[#This Row],[Findable]]^2))</f>
        <v>4.4721359549995796</v>
      </c>
      <c r="J45" s="2" t="s">
        <v>234</v>
      </c>
    </row>
    <row r="46" spans="1:10" ht="36" x14ac:dyDescent="0.2">
      <c r="A46" s="2" t="s">
        <v>76</v>
      </c>
      <c r="B46" s="2" t="s">
        <v>5</v>
      </c>
      <c r="C46" s="2" t="s">
        <v>20</v>
      </c>
      <c r="D46" s="2" t="s">
        <v>154</v>
      </c>
      <c r="E46" s="2" t="s">
        <v>204</v>
      </c>
      <c r="F46" s="2">
        <v>3</v>
      </c>
      <c r="G46" s="2">
        <v>4</v>
      </c>
      <c r="H46" s="2">
        <v>2</v>
      </c>
      <c r="I46" s="2">
        <f xml:space="preserve"> SQRT((Table1[[#This Row],[Understandable]]^2) + (Table1[[#This Row],[Findable]]^2))</f>
        <v>4.4721359549995796</v>
      </c>
      <c r="J46" s="2" t="s">
        <v>234</v>
      </c>
    </row>
    <row r="47" spans="1:10" ht="36" x14ac:dyDescent="0.2">
      <c r="A47" s="2" t="s">
        <v>73</v>
      </c>
      <c r="B47" s="2" t="s">
        <v>5</v>
      </c>
      <c r="C47" s="2" t="s">
        <v>11</v>
      </c>
      <c r="D47" s="2" t="s">
        <v>136</v>
      </c>
      <c r="E47" s="2" t="s">
        <v>137</v>
      </c>
      <c r="F47" s="2">
        <v>1</v>
      </c>
      <c r="G47" s="2">
        <v>3</v>
      </c>
      <c r="H47" s="2">
        <v>1</v>
      </c>
      <c r="I47" s="2">
        <f xml:space="preserve"> SQRT((Table1[[#This Row],[Understandable]]^2) + (Table1[[#This Row],[Findable]]^2))</f>
        <v>3.1622776601683795</v>
      </c>
      <c r="J47" s="2" t="s">
        <v>148</v>
      </c>
    </row>
    <row r="48" spans="1:10" ht="54" x14ac:dyDescent="0.2">
      <c r="A48" s="2" t="s">
        <v>78</v>
      </c>
      <c r="B48" s="2" t="s">
        <v>5</v>
      </c>
      <c r="C48" s="2" t="s">
        <v>23</v>
      </c>
      <c r="D48" s="2" t="s">
        <v>224</v>
      </c>
      <c r="E48" s="2" t="s">
        <v>237</v>
      </c>
      <c r="F48" s="2">
        <v>4</v>
      </c>
      <c r="I48" s="2">
        <f xml:space="preserve"> SQRT((Table1[[#This Row],[Understandable]]^2) + (Table1[[#This Row],[Findable]]^2))</f>
        <v>0</v>
      </c>
      <c r="J48" s="2" t="s">
        <v>238</v>
      </c>
    </row>
    <row r="49" spans="1:10" ht="18" x14ac:dyDescent="0.2">
      <c r="A49" s="2" t="s">
        <v>68</v>
      </c>
      <c r="B49" s="2" t="s">
        <v>5</v>
      </c>
      <c r="C49" s="2" t="s">
        <v>13</v>
      </c>
      <c r="D49" s="2" t="s">
        <v>144</v>
      </c>
      <c r="E49" s="2" t="s">
        <v>161</v>
      </c>
      <c r="F49" s="2">
        <v>2</v>
      </c>
      <c r="G49" s="2">
        <v>4</v>
      </c>
      <c r="H49" s="2">
        <v>2</v>
      </c>
      <c r="I49" s="2">
        <f xml:space="preserve"> SQRT((Table1[[#This Row],[Understandable]]^2) + (Table1[[#This Row],[Findable]]^2))</f>
        <v>4.4721359549995796</v>
      </c>
    </row>
    <row r="50" spans="1:10" ht="36" x14ac:dyDescent="0.2">
      <c r="A50" s="2" t="s">
        <v>71</v>
      </c>
      <c r="B50" s="2" t="s">
        <v>5</v>
      </c>
      <c r="C50" s="2" t="s">
        <v>16</v>
      </c>
      <c r="D50" s="2" t="s">
        <v>164</v>
      </c>
      <c r="E50" s="2" t="s">
        <v>165</v>
      </c>
      <c r="F50" s="2">
        <v>2</v>
      </c>
      <c r="G50" s="2">
        <v>5</v>
      </c>
      <c r="H50" s="2">
        <v>2</v>
      </c>
      <c r="I50" s="2">
        <f xml:space="preserve"> SQRT((Table1[[#This Row],[Understandable]]^2) + (Table1[[#This Row],[Findable]]^2))</f>
        <v>5.3851648071345037</v>
      </c>
    </row>
    <row r="51" spans="1:10" ht="36" x14ac:dyDescent="0.2">
      <c r="A51" s="2" t="s">
        <v>207</v>
      </c>
      <c r="B51" s="2" t="s">
        <v>5</v>
      </c>
      <c r="C51" s="2" t="s">
        <v>225</v>
      </c>
      <c r="D51" s="2" t="s">
        <v>164</v>
      </c>
      <c r="I51" s="2">
        <f xml:space="preserve"> SQRT((Table1[[#This Row],[Understandable]]^2) + (Table1[[#This Row],[Findable]]^2))</f>
        <v>0</v>
      </c>
    </row>
    <row r="52" spans="1:10" ht="36" x14ac:dyDescent="0.2">
      <c r="A52" s="2" t="s">
        <v>72</v>
      </c>
      <c r="B52" s="2" t="s">
        <v>5</v>
      </c>
      <c r="C52" s="2" t="s">
        <v>17</v>
      </c>
      <c r="D52" s="2" t="s">
        <v>166</v>
      </c>
      <c r="E52" s="2" t="s">
        <v>167</v>
      </c>
      <c r="F52" s="2">
        <v>2</v>
      </c>
      <c r="G52" s="2">
        <v>5</v>
      </c>
      <c r="H52" s="2">
        <v>3</v>
      </c>
      <c r="I52" s="2">
        <f xml:space="preserve"> SQRT((Table1[[#This Row],[Understandable]]^2) + (Table1[[#This Row],[Findable]]^2))</f>
        <v>5.8309518948453007</v>
      </c>
    </row>
    <row r="53" spans="1:10" ht="18" x14ac:dyDescent="0.2">
      <c r="A53" s="2" t="s">
        <v>67</v>
      </c>
      <c r="B53" s="2" t="s">
        <v>5</v>
      </c>
      <c r="C53" s="2" t="s">
        <v>10</v>
      </c>
      <c r="D53" s="2" t="s">
        <v>157</v>
      </c>
      <c r="E53" s="2" t="s">
        <v>158</v>
      </c>
      <c r="F53" s="2">
        <v>2</v>
      </c>
      <c r="G53" s="2">
        <v>4</v>
      </c>
      <c r="H53" s="2">
        <v>3</v>
      </c>
      <c r="I53" s="2">
        <f xml:space="preserve"> SQRT((Table1[[#This Row],[Understandable]]^2) + (Table1[[#This Row],[Findable]]^2))</f>
        <v>5</v>
      </c>
      <c r="J53" s="2" t="s">
        <v>159</v>
      </c>
    </row>
    <row r="54" spans="1:10" ht="18" x14ac:dyDescent="0.2">
      <c r="A54" s="2" t="s">
        <v>75</v>
      </c>
      <c r="B54" s="2" t="s">
        <v>5</v>
      </c>
      <c r="C54" s="2" t="s">
        <v>19</v>
      </c>
      <c r="D54" s="2" t="s">
        <v>171</v>
      </c>
      <c r="E54" s="2" t="s">
        <v>172</v>
      </c>
      <c r="F54" s="2">
        <v>2</v>
      </c>
      <c r="G54" s="2">
        <v>4</v>
      </c>
      <c r="H54" s="2">
        <v>5</v>
      </c>
      <c r="I54" s="2">
        <f xml:space="preserve"> SQRT((Table1[[#This Row],[Understandable]]^2) + (Table1[[#This Row],[Findable]]^2))</f>
        <v>6.4031242374328485</v>
      </c>
    </row>
    <row r="55" spans="1:10" ht="18" x14ac:dyDescent="0.2">
      <c r="A55" s="2" t="s">
        <v>79</v>
      </c>
      <c r="B55" s="2" t="s">
        <v>5</v>
      </c>
      <c r="C55" s="2" t="s">
        <v>201</v>
      </c>
      <c r="D55" s="2" t="s">
        <v>171</v>
      </c>
      <c r="E55" s="2" t="s">
        <v>211</v>
      </c>
      <c r="F55" s="2">
        <v>3</v>
      </c>
      <c r="I55" s="2">
        <f xml:space="preserve"> SQRT((Table1[[#This Row],[Understandable]]^2) + (Table1[[#This Row],[Findable]]^2))</f>
        <v>0</v>
      </c>
    </row>
    <row r="56" spans="1:10" ht="54" x14ac:dyDescent="0.2">
      <c r="A56" s="2" t="s">
        <v>77</v>
      </c>
      <c r="B56" s="2" t="s">
        <v>5</v>
      </c>
      <c r="C56" s="2" t="s">
        <v>22</v>
      </c>
      <c r="D56" s="2" t="s">
        <v>247</v>
      </c>
      <c r="E56" s="2" t="s">
        <v>248</v>
      </c>
      <c r="F56" s="2">
        <v>4</v>
      </c>
      <c r="I56" s="2">
        <f xml:space="preserve"> SQRT((Table1[[#This Row],[Understandable]]^2) + (Table1[[#This Row],[Findable]]^2))</f>
        <v>0</v>
      </c>
    </row>
    <row r="57" spans="1:10" ht="36" x14ac:dyDescent="0.2">
      <c r="A57" s="2" t="s">
        <v>83</v>
      </c>
      <c r="B57" s="2" t="s">
        <v>5</v>
      </c>
      <c r="C57" s="2" t="s">
        <v>21</v>
      </c>
      <c r="D57" s="2" t="s">
        <v>170</v>
      </c>
      <c r="E57" s="2" t="s">
        <v>173</v>
      </c>
      <c r="F57" s="2">
        <v>3</v>
      </c>
      <c r="G57" s="2">
        <v>5</v>
      </c>
      <c r="H57" s="2">
        <v>1</v>
      </c>
      <c r="I57" s="2">
        <f xml:space="preserve"> SQRT((Table1[[#This Row],[Understandable]]^2) + (Table1[[#This Row],[Findable]]^2))</f>
        <v>5.0990195135927845</v>
      </c>
      <c r="J57" s="2" t="s">
        <v>180</v>
      </c>
    </row>
    <row r="58" spans="1:10" ht="36" x14ac:dyDescent="0.2">
      <c r="A58" s="2" t="s">
        <v>60</v>
      </c>
      <c r="B58" s="2" t="s">
        <v>5</v>
      </c>
      <c r="C58" s="2" t="s">
        <v>8</v>
      </c>
      <c r="D58" s="2" t="s">
        <v>152</v>
      </c>
      <c r="E58" s="2" t="s">
        <v>153</v>
      </c>
      <c r="F58" s="2">
        <v>1</v>
      </c>
      <c r="G58" s="2">
        <v>1</v>
      </c>
      <c r="H58" s="2">
        <v>1</v>
      </c>
      <c r="I58" s="2">
        <f xml:space="preserve"> SQRT((Table1[[#This Row],[Understandable]]^2) + (Table1[[#This Row],[Findable]]^2))</f>
        <v>1.4142135623730951</v>
      </c>
    </row>
    <row r="59" spans="1:10" ht="18" x14ac:dyDescent="0.2">
      <c r="A59" s="2" t="s">
        <v>70</v>
      </c>
      <c r="B59" s="2" t="s">
        <v>5</v>
      </c>
      <c r="C59" s="2" t="s">
        <v>15</v>
      </c>
      <c r="D59" s="2" t="s">
        <v>152</v>
      </c>
      <c r="E59" s="2" t="s">
        <v>153</v>
      </c>
      <c r="F59" s="2">
        <v>1</v>
      </c>
      <c r="G59" s="2">
        <v>1</v>
      </c>
      <c r="H59" s="2">
        <v>1</v>
      </c>
      <c r="I59" s="2">
        <f xml:space="preserve"> SQRT((Table1[[#This Row],[Understandable]]^2) + (Table1[[#This Row],[Findable]]^2))</f>
        <v>1.4142135623730951</v>
      </c>
    </row>
    <row r="60" spans="1:10" ht="36" x14ac:dyDescent="0.2">
      <c r="A60" s="2" t="s">
        <v>61</v>
      </c>
      <c r="B60" s="2" t="s">
        <v>5</v>
      </c>
      <c r="C60" s="2" t="s">
        <v>9</v>
      </c>
      <c r="D60" s="2" t="s">
        <v>147</v>
      </c>
      <c r="E60" s="2" t="s">
        <v>196</v>
      </c>
      <c r="F60" s="2">
        <v>2</v>
      </c>
      <c r="G60" s="2">
        <v>5</v>
      </c>
      <c r="H60" s="2">
        <v>3</v>
      </c>
      <c r="I60" s="2">
        <f xml:space="preserve"> SQRT((Table1[[#This Row],[Understandable]]^2) + (Table1[[#This Row],[Findable]]^2))</f>
        <v>5.8309518948453007</v>
      </c>
      <c r="J60" s="2" t="s">
        <v>150</v>
      </c>
    </row>
    <row r="61" spans="1:10" ht="18" x14ac:dyDescent="0.2">
      <c r="A61" s="2" t="s">
        <v>197</v>
      </c>
      <c r="B61" s="2" t="s">
        <v>5</v>
      </c>
      <c r="C61" s="2" t="s">
        <v>200</v>
      </c>
      <c r="D61" s="2" t="s">
        <v>203</v>
      </c>
      <c r="E61" s="2" t="s">
        <v>210</v>
      </c>
      <c r="F61" s="2">
        <v>3</v>
      </c>
      <c r="I61" s="2">
        <f xml:space="preserve"> SQRT((Table1[[#This Row],[Understandable]]^2) + (Table1[[#This Row],[Findable]]^2))</f>
        <v>0</v>
      </c>
    </row>
    <row r="62" spans="1:10" ht="36" x14ac:dyDescent="0.2">
      <c r="A62" s="2" t="s">
        <v>81</v>
      </c>
      <c r="B62" s="2" t="s">
        <v>5</v>
      </c>
      <c r="C62" s="2" t="s">
        <v>25</v>
      </c>
      <c r="D62" s="2" t="s">
        <v>203</v>
      </c>
      <c r="E62" s="2" t="s">
        <v>210</v>
      </c>
      <c r="F62" s="2">
        <v>3</v>
      </c>
      <c r="I62" s="2">
        <f xml:space="preserve"> SQRT((Table1[[#This Row],[Understandable]]^2) + (Table1[[#This Row],[Findable]]^2))</f>
        <v>0</v>
      </c>
    </row>
    <row r="63" spans="1:10" ht="54" x14ac:dyDescent="0.2">
      <c r="A63" s="2" t="s">
        <v>80</v>
      </c>
      <c r="B63" s="2" t="s">
        <v>5</v>
      </c>
      <c r="C63" s="2" t="s">
        <v>24</v>
      </c>
      <c r="D63" s="2" t="s">
        <v>216</v>
      </c>
      <c r="E63" s="2" t="s">
        <v>258</v>
      </c>
      <c r="F63" s="2">
        <v>4</v>
      </c>
      <c r="I63" s="2">
        <f xml:space="preserve"> SQRT((Table1[[#This Row],[Understandable]]^2) + (Table1[[#This Row],[Findable]]^2))</f>
        <v>0</v>
      </c>
      <c r="J63" s="2" t="s">
        <v>259</v>
      </c>
    </row>
    <row r="64" spans="1:10" ht="36" x14ac:dyDescent="0.2">
      <c r="A64" s="2" t="s">
        <v>119</v>
      </c>
      <c r="B64" s="2" t="s">
        <v>55</v>
      </c>
      <c r="C64" s="2" t="s">
        <v>58</v>
      </c>
      <c r="D64" s="2" t="s">
        <v>227</v>
      </c>
      <c r="F64" s="2">
        <v>3</v>
      </c>
      <c r="I64" s="2">
        <f xml:space="preserve"> SQRT((Table1[[#This Row],[Understandable]]^2) + (Table1[[#This Row],[Findable]]^2))</f>
        <v>0</v>
      </c>
    </row>
    <row r="65" spans="1:10" ht="36" x14ac:dyDescent="0.2">
      <c r="A65" s="2" t="s">
        <v>118</v>
      </c>
      <c r="B65" s="2" t="s">
        <v>55</v>
      </c>
      <c r="C65" s="2" t="s">
        <v>57</v>
      </c>
      <c r="D65" s="2" t="s">
        <v>190</v>
      </c>
      <c r="E65" s="2" t="s">
        <v>191</v>
      </c>
      <c r="F65" s="2">
        <v>2</v>
      </c>
      <c r="G65" s="2">
        <v>1</v>
      </c>
      <c r="H65" s="2">
        <v>2</v>
      </c>
      <c r="I65" s="2">
        <f xml:space="preserve"> SQRT((Table1[[#This Row],[Understandable]]^2) + (Table1[[#This Row],[Findable]]^2))</f>
        <v>2.2360679774997898</v>
      </c>
    </row>
    <row r="66" spans="1:10" ht="36" x14ac:dyDescent="0.2">
      <c r="A66" s="2" t="s">
        <v>117</v>
      </c>
      <c r="B66" s="2" t="s">
        <v>55</v>
      </c>
      <c r="C66" s="2" t="s">
        <v>56</v>
      </c>
      <c r="D66" s="2" t="s">
        <v>208</v>
      </c>
      <c r="F66" s="2">
        <v>3</v>
      </c>
      <c r="I66" s="2">
        <f xml:space="preserve"> SQRT((Table1[[#This Row],[Understandable]]^2) + (Table1[[#This Row],[Findable]]^2))</f>
        <v>0</v>
      </c>
    </row>
    <row r="67" spans="1:10" ht="36" x14ac:dyDescent="0.2">
      <c r="A67" s="2" t="s">
        <v>120</v>
      </c>
      <c r="B67" s="2" t="s">
        <v>55</v>
      </c>
      <c r="C67" s="2" t="s">
        <v>59</v>
      </c>
      <c r="D67" s="2" t="s">
        <v>208</v>
      </c>
      <c r="F67" s="2">
        <v>5</v>
      </c>
      <c r="I67" s="2">
        <f xml:space="preserve"> SQRT((Table1[[#This Row],[Understandable]]^2) + (Table1[[#This Row],[Findable]]^2))</f>
        <v>0</v>
      </c>
    </row>
    <row r="68" spans="1:10" ht="36" x14ac:dyDescent="0.2">
      <c r="A68" s="2" t="s">
        <v>64</v>
      </c>
      <c r="B68" s="2" t="s">
        <v>4</v>
      </c>
      <c r="C68" s="2" t="s">
        <v>130</v>
      </c>
      <c r="D68" s="2" t="s">
        <v>219</v>
      </c>
      <c r="F68" s="2">
        <v>5</v>
      </c>
      <c r="I68" s="2">
        <f xml:space="preserve"> SQRT((Table1[[#This Row],[Understandable]]^2) + (Table1[[#This Row],[Findable]]^2))</f>
        <v>0</v>
      </c>
    </row>
    <row r="69" spans="1:10" ht="36" x14ac:dyDescent="0.2">
      <c r="A69" s="2" t="s">
        <v>65</v>
      </c>
      <c r="B69" s="2" t="s">
        <v>4</v>
      </c>
      <c r="C69" s="2" t="s">
        <v>131</v>
      </c>
      <c r="D69" s="2" t="s">
        <v>144</v>
      </c>
      <c r="F69" s="2">
        <v>5</v>
      </c>
      <c r="I69" s="2">
        <f xml:space="preserve"> SQRT((Table1[[#This Row],[Understandable]]^2) + (Table1[[#This Row],[Findable]]^2))</f>
        <v>0</v>
      </c>
    </row>
    <row r="70" spans="1:10" ht="36" x14ac:dyDescent="0.2">
      <c r="A70" s="2" t="s">
        <v>132</v>
      </c>
      <c r="B70" s="2" t="s">
        <v>4</v>
      </c>
      <c r="C70" s="2" t="s">
        <v>122</v>
      </c>
      <c r="D70" s="2" t="s">
        <v>156</v>
      </c>
      <c r="E70" s="2" t="s">
        <v>151</v>
      </c>
      <c r="F70" s="2">
        <v>2</v>
      </c>
      <c r="G70" s="2">
        <v>2</v>
      </c>
      <c r="H70" s="2">
        <v>6</v>
      </c>
      <c r="I70" s="2">
        <f xml:space="preserve"> SQRT((Table1[[#This Row],[Understandable]]^2) + (Table1[[#This Row],[Findable]]^2))</f>
        <v>6.324555320336759</v>
      </c>
    </row>
    <row r="71" spans="1:10" ht="72" x14ac:dyDescent="0.2">
      <c r="A71" s="2" t="s">
        <v>63</v>
      </c>
      <c r="B71" s="2" t="s">
        <v>4</v>
      </c>
      <c r="C71" s="2" t="s">
        <v>125</v>
      </c>
      <c r="D71" s="2" t="s">
        <v>256</v>
      </c>
      <c r="E71" s="2" t="s">
        <v>257</v>
      </c>
      <c r="F71" s="2">
        <v>4</v>
      </c>
      <c r="I71" s="2">
        <f xml:space="preserve"> SQRT((Table1[[#This Row],[Understandable]]^2) + (Table1[[#This Row],[Findable]]^2))</f>
        <v>0</v>
      </c>
    </row>
    <row r="72" spans="1:10" ht="72" x14ac:dyDescent="0.2">
      <c r="A72" s="2" t="s">
        <v>62</v>
      </c>
      <c r="B72" s="2" t="s">
        <v>4</v>
      </c>
      <c r="C72" s="2" t="s">
        <v>6</v>
      </c>
      <c r="D72" s="2" t="s">
        <v>160</v>
      </c>
      <c r="E72" s="2" t="s">
        <v>280</v>
      </c>
      <c r="F72" s="2">
        <v>2</v>
      </c>
      <c r="G72" s="2">
        <v>3</v>
      </c>
      <c r="H72" s="2">
        <v>5</v>
      </c>
      <c r="I72" s="2">
        <f xml:space="preserve"> SQRT((Table1[[#This Row],[Understandable]]^2) + (Table1[[#This Row],[Findable]]^2))</f>
        <v>5.8309518948453007</v>
      </c>
    </row>
    <row r="73" spans="1:10" ht="36" x14ac:dyDescent="0.2">
      <c r="A73" s="2" t="s">
        <v>133</v>
      </c>
      <c r="B73" s="2" t="s">
        <v>4</v>
      </c>
      <c r="C73" s="2" t="s">
        <v>123</v>
      </c>
      <c r="D73" s="2" t="s">
        <v>195</v>
      </c>
      <c r="E73" s="2" t="s">
        <v>255</v>
      </c>
      <c r="F73" s="2">
        <v>3</v>
      </c>
      <c r="I73" s="2">
        <f xml:space="preserve"> SQRT((Table1[[#This Row],[Understandable]]^2) + (Table1[[#This Row],[Findable]]^2))</f>
        <v>0</v>
      </c>
    </row>
    <row r="74" spans="1:10" ht="18" x14ac:dyDescent="0.2">
      <c r="A74" s="2" t="s">
        <v>228</v>
      </c>
      <c r="B74" s="2" t="s">
        <v>229</v>
      </c>
      <c r="C74" s="2" t="s">
        <v>230</v>
      </c>
      <c r="D74" s="2" t="s">
        <v>152</v>
      </c>
      <c r="E74" s="2" t="s">
        <v>244</v>
      </c>
      <c r="I74" s="2">
        <f xml:space="preserve"> SQRT((Table1[[#This Row],[Understandable]]^2) + (Table1[[#This Row],[Findable]]^2))</f>
        <v>0</v>
      </c>
      <c r="J74" s="2" t="s">
        <v>253</v>
      </c>
    </row>
    <row r="75" spans="1:10" s="10" customFormat="1" ht="36" x14ac:dyDescent="0.2">
      <c r="A75" s="10" t="s">
        <v>321</v>
      </c>
      <c r="I75" s="10">
        <f xml:space="preserve"> SQRT((Table1[[#This Row],[Understandable]]^2) + (Table1[[#This Row],[Findable]]^2))</f>
        <v>0</v>
      </c>
    </row>
    <row r="76" spans="1:10" ht="18" x14ac:dyDescent="0.2">
      <c r="A76" s="2" t="s">
        <v>322</v>
      </c>
      <c r="I76" s="2">
        <f xml:space="preserve"> SQRT((Table1[[#This Row],[Understandable]]^2) + (Table1[[#This Row],[Findable]]^2))</f>
        <v>0</v>
      </c>
    </row>
    <row r="77" spans="1:10" ht="36" x14ac:dyDescent="0.2">
      <c r="A77" s="2" t="s">
        <v>323</v>
      </c>
      <c r="I77" s="2">
        <f xml:space="preserve"> SQRT((Table1[[#This Row],[Understandable]]^2) + (Table1[[#This Row],[Findable]]^2))</f>
        <v>0</v>
      </c>
    </row>
    <row r="78" spans="1:10" ht="18" x14ac:dyDescent="0.2">
      <c r="A78" s="2" t="s">
        <v>324</v>
      </c>
      <c r="I78" s="2">
        <f xml:space="preserve"> SQRT((Table1[[#This Row],[Understandable]]^2) + (Table1[[#This Row],[Findable]]^2))</f>
        <v>0</v>
      </c>
    </row>
  </sheetData>
  <phoneticPr fontId="2" type="noConversion"/>
  <conditionalFormatting sqref="D1:D1048576">
    <cfRule type="containsText" dxfId="28" priority="1" operator="containsText" text="East">
      <formula>NOT(ISERROR(SEARCH("East",D1)))</formula>
    </cfRule>
    <cfRule type="containsText" dxfId="27" priority="2" operator="containsText" text="Waiting">
      <formula>NOT(ISERROR(SEARCH("Waiting",D1)))</formula>
    </cfRule>
    <cfRule type="containsText" dxfId="26" priority="3" operator="containsText" text="Sacred">
      <formula>NOT(ISERROR(SEARCH("Sacred",D1)))</formula>
    </cfRule>
    <cfRule type="containsText" dxfId="25" priority="4" operator="containsText" text="Pond">
      <formula>NOT(ISERROR(SEARCH("Pond",D1)))</formula>
    </cfRule>
    <cfRule type="containsText" dxfId="24" priority="5" operator="containsText" text="Balcony">
      <formula>NOT(ISERROR(SEARCH("Balcony",D1)))</formula>
    </cfRule>
    <cfRule type="containsText" dxfId="23" priority="6" operator="containsText" text="Craft">
      <formula>NOT(ISERROR(SEARCH("Craft",D1)))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F2BC-5ADE-0B4A-AAFC-D255F3A83AC7}">
  <dimension ref="A1:I14"/>
  <sheetViews>
    <sheetView tabSelected="1" zoomScale="50" workbookViewId="0">
      <selection activeCell="J1" sqref="J1"/>
    </sheetView>
  </sheetViews>
  <sheetFormatPr baseColWidth="10" defaultColWidth="40.83203125" defaultRowHeight="120" customHeight="1" x14ac:dyDescent="0.2"/>
  <cols>
    <col min="1" max="2" width="40.83203125" style="6"/>
    <col min="3" max="3" width="16.5" style="6" customWidth="1"/>
    <col min="4" max="4" width="18.83203125" style="6" customWidth="1"/>
    <col min="5" max="5" width="43.83203125" style="6" customWidth="1"/>
    <col min="6" max="8" width="40.83203125" style="6"/>
    <col min="9" max="9" width="107.5" style="6" customWidth="1"/>
    <col min="10" max="16384" width="40.83203125" style="6"/>
  </cols>
  <sheetData>
    <row r="1" spans="1:9" s="5" customFormat="1" ht="120" customHeight="1" x14ac:dyDescent="0.2">
      <c r="A1" s="5" t="s">
        <v>260</v>
      </c>
      <c r="B1" s="5" t="s">
        <v>262</v>
      </c>
      <c r="C1" s="5" t="s">
        <v>263</v>
      </c>
      <c r="D1" s="5" t="s">
        <v>264</v>
      </c>
      <c r="E1" s="5" t="s">
        <v>261</v>
      </c>
      <c r="F1" s="5" t="s">
        <v>265</v>
      </c>
      <c r="G1" s="5" t="s">
        <v>317</v>
      </c>
      <c r="H1" s="5" t="s">
        <v>266</v>
      </c>
      <c r="I1" s="11" t="s">
        <v>339</v>
      </c>
    </row>
    <row r="2" spans="1:9" ht="120" customHeight="1" x14ac:dyDescent="0.2">
      <c r="A2" s="6" t="s">
        <v>267</v>
      </c>
      <c r="B2" s="7" t="s">
        <v>279</v>
      </c>
      <c r="C2" s="6" t="s">
        <v>281</v>
      </c>
      <c r="D2" s="6" t="s">
        <v>282</v>
      </c>
      <c r="E2" s="6" t="s">
        <v>316</v>
      </c>
      <c r="F2" s="6" t="s">
        <v>315</v>
      </c>
      <c r="H2" s="6" t="s">
        <v>331</v>
      </c>
    </row>
    <row r="3" spans="1:9" ht="120" customHeight="1" x14ac:dyDescent="0.2">
      <c r="A3" s="6" t="s">
        <v>268</v>
      </c>
      <c r="B3" s="7" t="s">
        <v>299</v>
      </c>
      <c r="C3" s="6" t="s">
        <v>283</v>
      </c>
      <c r="D3" s="6" t="s">
        <v>284</v>
      </c>
      <c r="E3" s="6" t="s">
        <v>332</v>
      </c>
      <c r="F3" s="6" t="s">
        <v>333</v>
      </c>
      <c r="H3" s="6" t="s">
        <v>334</v>
      </c>
    </row>
    <row r="4" spans="1:9" ht="120" customHeight="1" x14ac:dyDescent="0.2">
      <c r="A4" s="6" t="s">
        <v>269</v>
      </c>
      <c r="B4" s="7" t="s">
        <v>300</v>
      </c>
      <c r="C4" s="6" t="s">
        <v>283</v>
      </c>
      <c r="D4" s="6" t="s">
        <v>285</v>
      </c>
      <c r="E4" s="6" t="s">
        <v>318</v>
      </c>
      <c r="F4" s="6" t="s">
        <v>319</v>
      </c>
      <c r="H4" s="6" t="s">
        <v>329</v>
      </c>
    </row>
    <row r="5" spans="1:9" ht="120" customHeight="1" x14ac:dyDescent="0.2">
      <c r="A5" s="6" t="s">
        <v>271</v>
      </c>
      <c r="B5" s="6" t="s">
        <v>301</v>
      </c>
      <c r="C5" s="6" t="s">
        <v>288</v>
      </c>
      <c r="D5" s="6" t="s">
        <v>289</v>
      </c>
      <c r="H5" s="6" t="s">
        <v>325</v>
      </c>
    </row>
    <row r="6" spans="1:9" ht="120" customHeight="1" x14ac:dyDescent="0.2">
      <c r="A6" s="6" t="s">
        <v>272</v>
      </c>
      <c r="B6" s="7" t="s">
        <v>302</v>
      </c>
      <c r="C6" s="6" t="s">
        <v>290</v>
      </c>
      <c r="D6" s="6" t="s">
        <v>291</v>
      </c>
      <c r="E6" s="6" t="s">
        <v>326</v>
      </c>
      <c r="F6" s="6" t="s">
        <v>327</v>
      </c>
      <c r="H6" s="6" t="s">
        <v>328</v>
      </c>
    </row>
    <row r="7" spans="1:9" ht="120" customHeight="1" x14ac:dyDescent="0.2">
      <c r="A7" s="6" t="s">
        <v>274</v>
      </c>
      <c r="B7" s="6" t="s">
        <v>304</v>
      </c>
      <c r="C7" s="6" t="s">
        <v>290</v>
      </c>
      <c r="D7" s="6" t="s">
        <v>294</v>
      </c>
      <c r="H7" s="6" t="s">
        <v>338</v>
      </c>
    </row>
    <row r="8" spans="1:9" ht="120" customHeight="1" x14ac:dyDescent="0.2">
      <c r="A8" s="9" t="s">
        <v>275</v>
      </c>
      <c r="B8" s="8" t="s">
        <v>306</v>
      </c>
      <c r="C8" s="9" t="s">
        <v>290</v>
      </c>
      <c r="D8" s="9" t="s">
        <v>295</v>
      </c>
      <c r="E8" s="9"/>
      <c r="F8" s="9"/>
      <c r="G8" s="9"/>
      <c r="H8" s="9" t="s">
        <v>337</v>
      </c>
    </row>
    <row r="9" spans="1:9" ht="120" customHeight="1" x14ac:dyDescent="0.2">
      <c r="A9" s="6" t="s">
        <v>273</v>
      </c>
      <c r="B9" s="6" t="s">
        <v>303</v>
      </c>
      <c r="C9" s="6" t="s">
        <v>292</v>
      </c>
      <c r="D9" s="6" t="s">
        <v>293</v>
      </c>
      <c r="E9" s="6" t="s">
        <v>336</v>
      </c>
      <c r="F9" s="6" t="s">
        <v>335</v>
      </c>
      <c r="G9" s="6" t="s">
        <v>330</v>
      </c>
    </row>
    <row r="10" spans="1:9" s="9" customFormat="1" ht="120" customHeight="1" x14ac:dyDescent="0.2">
      <c r="A10" s="6" t="s">
        <v>276</v>
      </c>
      <c r="B10" s="6" t="s">
        <v>305</v>
      </c>
      <c r="C10" s="6" t="s">
        <v>292</v>
      </c>
      <c r="D10" s="6" t="s">
        <v>296</v>
      </c>
      <c r="E10" s="6"/>
      <c r="F10" s="6"/>
      <c r="G10" s="6"/>
      <c r="H10" s="6"/>
    </row>
    <row r="11" spans="1:9" ht="120" customHeight="1" x14ac:dyDescent="0.2">
      <c r="A11" s="6" t="s">
        <v>270</v>
      </c>
      <c r="B11" s="7" t="s">
        <v>309</v>
      </c>
      <c r="C11" s="6" t="s">
        <v>286</v>
      </c>
      <c r="D11" s="6" t="s">
        <v>287</v>
      </c>
      <c r="E11" s="6" t="s">
        <v>310</v>
      </c>
      <c r="F11" s="6" t="s">
        <v>314</v>
      </c>
      <c r="G11" s="7" t="s">
        <v>320</v>
      </c>
    </row>
    <row r="12" spans="1:9" ht="120" customHeight="1" x14ac:dyDescent="0.2">
      <c r="A12" s="6" t="s">
        <v>277</v>
      </c>
      <c r="B12" s="7" t="s">
        <v>307</v>
      </c>
      <c r="C12" s="6" t="s">
        <v>286</v>
      </c>
      <c r="D12" s="6" t="s">
        <v>297</v>
      </c>
    </row>
    <row r="13" spans="1:9" ht="120" customHeight="1" x14ac:dyDescent="0.2">
      <c r="A13" s="6" t="s">
        <v>311</v>
      </c>
      <c r="C13" s="6" t="s">
        <v>286</v>
      </c>
      <c r="D13" s="6" t="s">
        <v>312</v>
      </c>
      <c r="E13" s="6" t="s">
        <v>313</v>
      </c>
    </row>
    <row r="14" spans="1:9" ht="120" customHeight="1" x14ac:dyDescent="0.2">
      <c r="A14" s="6" t="s">
        <v>278</v>
      </c>
      <c r="B14" s="6" t="s">
        <v>308</v>
      </c>
      <c r="C14" s="6" t="s">
        <v>286</v>
      </c>
      <c r="D14" s="6" t="s">
        <v>298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Narration</vt:lpstr>
      <vt:lpstr>proto scenes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Jeremias Kuehne</dc:creator>
  <cp:lastModifiedBy>Jeremias Kuehne</cp:lastModifiedBy>
  <dcterms:created xsi:type="dcterms:W3CDTF">2025-06-18T09:07:05Z</dcterms:created>
  <dcterms:modified xsi:type="dcterms:W3CDTF">2026-04-03T09:25:25Z</dcterms:modified>
</cp:coreProperties>
</file>